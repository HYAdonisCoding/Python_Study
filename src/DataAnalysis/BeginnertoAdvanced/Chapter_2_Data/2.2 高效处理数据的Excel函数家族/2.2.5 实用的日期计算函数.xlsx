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425"/>
  <workbookPr filterPrivacy="1"/>
  <xr:revisionPtr revIDLastSave="0" documentId="13_ncr:1_{B194B98C-D89E-400F-9C0E-02109C98D1F1}" xr6:coauthVersionLast="43" xr6:coauthVersionMax="43" xr10:uidLastSave="{00000000-0000-0000-0000-000000000000}"/>
  <bookViews>
    <workbookView xWindow="-120" yWindow="-120" windowWidth="24240" windowHeight="13140" tabRatio="830" xr2:uid="{00000000-000D-0000-FFFF-FFFF00000000}"/>
  </bookViews>
  <sheets>
    <sheet name="TODAY" sheetId="1" r:id="rId1"/>
    <sheet name="NOW" sheetId="2" r:id="rId2"/>
    <sheet name="YEAR~MONTH~DAY" sheetId="3" r:id="rId3"/>
    <sheet name="HOUR~MINUTE~SECOND" sheetId="4" r:id="rId4"/>
    <sheet name="DATE" sheetId="5" r:id="rId5"/>
    <sheet name="TIME" sheetId="6" r:id="rId6"/>
    <sheet name="DATEDIF" sheetId="7" r:id="rId7"/>
    <sheet name="实战一" sheetId="8" r:id="rId8"/>
    <sheet name="实战二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" i="9" l="1"/>
  <c r="C2" i="9" l="1"/>
  <c r="D2" i="9" s="1"/>
  <c r="B2" i="9"/>
  <c r="B3" i="9" l="1"/>
  <c r="B4" i="9"/>
  <c r="C4" i="9" s="1"/>
  <c r="D4" i="9" s="1"/>
  <c r="B5" i="9"/>
  <c r="B6" i="9"/>
  <c r="C6" i="9" s="1"/>
  <c r="B7" i="9"/>
  <c r="B8" i="9"/>
  <c r="B9" i="9"/>
  <c r="B10" i="9"/>
  <c r="C10" i="9" s="1"/>
  <c r="B11" i="9"/>
  <c r="B12" i="9"/>
  <c r="B13" i="9"/>
  <c r="B14" i="9"/>
  <c r="C14" i="9" s="1"/>
  <c r="B15" i="9"/>
  <c r="B16" i="9"/>
  <c r="B17" i="9"/>
  <c r="B18" i="9"/>
  <c r="C18" i="9" s="1"/>
  <c r="B19" i="9"/>
  <c r="B20" i="9"/>
  <c r="B21" i="9"/>
  <c r="D7" i="9"/>
  <c r="C3" i="9"/>
  <c r="D3" i="9" s="1"/>
  <c r="C7" i="9"/>
  <c r="C8" i="9"/>
  <c r="C9" i="9"/>
  <c r="C11" i="9"/>
  <c r="D11" i="9" s="1"/>
  <c r="C12" i="9"/>
  <c r="C13" i="9"/>
  <c r="C15" i="9"/>
  <c r="D15" i="9" s="1"/>
  <c r="C19" i="9"/>
  <c r="D19" i="9" s="1"/>
  <c r="C20" i="9"/>
  <c r="D17" i="9" l="1"/>
  <c r="D13" i="9"/>
  <c r="C17" i="9"/>
  <c r="D20" i="9"/>
  <c r="D12" i="9"/>
  <c r="D8" i="9"/>
  <c r="C21" i="9"/>
  <c r="D21" i="9" s="1"/>
  <c r="C16" i="9"/>
  <c r="D16" i="9" s="1"/>
  <c r="D9" i="9"/>
  <c r="D18" i="9"/>
  <c r="D14" i="9"/>
  <c r="D10" i="9"/>
  <c r="D6" i="9"/>
  <c r="C5" i="9"/>
  <c r="D5" i="9" s="1"/>
  <c r="G13" i="9" l="1"/>
  <c r="G5" i="9"/>
  <c r="G9" i="9"/>
  <c r="G17" i="9"/>
  <c r="G21" i="9"/>
  <c r="G25" i="9"/>
  <c r="G6" i="9"/>
  <c r="G10" i="9"/>
  <c r="G14" i="9"/>
  <c r="G18" i="9"/>
  <c r="G22" i="9"/>
  <c r="G3" i="9"/>
  <c r="G7" i="9"/>
  <c r="G11" i="9"/>
  <c r="G15" i="9"/>
  <c r="G19" i="9"/>
  <c r="G23" i="9"/>
  <c r="G4" i="9"/>
  <c r="G8" i="9"/>
  <c r="G12" i="9"/>
  <c r="G16" i="9"/>
  <c r="G20" i="9"/>
  <c r="G24" i="9"/>
  <c r="E2" i="8" l="1"/>
  <c r="D2" i="8"/>
  <c r="D3" i="8"/>
  <c r="D4" i="8"/>
  <c r="D5" i="8"/>
  <c r="D6" i="8"/>
  <c r="D7" i="8"/>
  <c r="D8" i="8"/>
  <c r="D9" i="8"/>
  <c r="D10" i="8"/>
  <c r="D11" i="8"/>
  <c r="C2" i="8"/>
  <c r="C3" i="8"/>
  <c r="E3" i="8"/>
  <c r="C4" i="8"/>
  <c r="E4" i="8"/>
  <c r="C5" i="8"/>
  <c r="E5" i="8"/>
  <c r="C6" i="8"/>
  <c r="E6" i="8"/>
  <c r="C7" i="8"/>
  <c r="E7" i="8"/>
  <c r="C8" i="8"/>
  <c r="E8" i="8"/>
  <c r="C9" i="8"/>
  <c r="E9" i="8"/>
  <c r="C10" i="8"/>
  <c r="E10" i="8"/>
  <c r="C11" i="8"/>
  <c r="E11" i="8"/>
  <c r="E4" i="7" l="1"/>
  <c r="E3" i="7"/>
  <c r="E2" i="7"/>
  <c r="C3" i="6" l="1"/>
  <c r="C4" i="6"/>
  <c r="C2" i="6"/>
  <c r="C4" i="5"/>
  <c r="C3" i="5"/>
  <c r="C2" i="5"/>
  <c r="C4" i="4" l="1"/>
  <c r="C3" i="4"/>
  <c r="C2" i="4"/>
  <c r="C4" i="3"/>
  <c r="C3" i="3"/>
  <c r="C2" i="3"/>
  <c r="C5" i="2" l="1"/>
  <c r="C4" i="2"/>
  <c r="C3" i="2"/>
  <c r="C2" i="2"/>
  <c r="C5" i="1"/>
  <c r="C4" i="1"/>
  <c r="C3" i="1"/>
  <c r="C2" i="1"/>
</calcChain>
</file>

<file path=xl/sharedStrings.xml><?xml version="1.0" encoding="utf-8"?>
<sst xmlns="http://schemas.openxmlformats.org/spreadsheetml/2006/main" count="105" uniqueCount="85">
  <si>
    <t>公式</t>
    <phoneticPr fontId="1" type="noConversion"/>
  </si>
  <si>
    <t>说明</t>
    <phoneticPr fontId="1" type="noConversion"/>
  </si>
  <si>
    <t>结果</t>
    <phoneticPr fontId="1" type="noConversion"/>
  </si>
  <si>
    <t>返回当前日期</t>
    <phoneticPr fontId="1" type="noConversion"/>
  </si>
  <si>
    <t>返回当前日期减1天</t>
    <phoneticPr fontId="1" type="noConversion"/>
  </si>
  <si>
    <t>返回当前日期加1天</t>
    <phoneticPr fontId="1" type="noConversion"/>
  </si>
  <si>
    <t>计算1990年出生人的年龄</t>
    <phoneticPr fontId="1" type="noConversion"/>
  </si>
  <si>
    <t>返回当前日期和时间</t>
    <phoneticPr fontId="1" type="noConversion"/>
  </si>
  <si>
    <t>返回12小时前的日期和时间</t>
    <phoneticPr fontId="1" type="noConversion"/>
  </si>
  <si>
    <t>返回12小时后的日期和时间</t>
    <phoneticPr fontId="1" type="noConversion"/>
  </si>
  <si>
    <t>返回3天后的日期和时间</t>
    <phoneticPr fontId="1" type="noConversion"/>
  </si>
  <si>
    <t>=HOUR("12:15:30")</t>
    <phoneticPr fontId="1" type="noConversion"/>
  </si>
  <si>
    <t>=MINUTE("12:15:30")</t>
    <phoneticPr fontId="1" type="noConversion"/>
  </si>
  <si>
    <t>=SECOND("12:15:30")</t>
    <phoneticPr fontId="1" type="noConversion"/>
  </si>
  <si>
    <t>=YEAR("2018-05-01")</t>
    <phoneticPr fontId="1" type="noConversion"/>
  </si>
  <si>
    <t>=MONTH("2018-05-01")</t>
    <phoneticPr fontId="1" type="noConversion"/>
  </si>
  <si>
    <t>=DAY("2018-05-01")</t>
    <phoneticPr fontId="1" type="noConversion"/>
  </si>
  <si>
    <t>=NOW()</t>
    <phoneticPr fontId="1" type="noConversion"/>
  </si>
  <si>
    <t>=NOW()-0.5</t>
    <phoneticPr fontId="1" type="noConversion"/>
  </si>
  <si>
    <t>=NOW()+0.5</t>
    <phoneticPr fontId="1" type="noConversion"/>
  </si>
  <si>
    <t>=NOW()+3</t>
    <phoneticPr fontId="1" type="noConversion"/>
  </si>
  <si>
    <t>=TODAY()</t>
    <phoneticPr fontId="1" type="noConversion"/>
  </si>
  <si>
    <t>=TODAY()-1</t>
    <phoneticPr fontId="1" type="noConversion"/>
  </si>
  <si>
    <t>=TODAY()+1</t>
    <phoneticPr fontId="1" type="noConversion"/>
  </si>
  <si>
    <t>=YEAR(TODAY())-1990</t>
    <phoneticPr fontId="1" type="noConversion"/>
  </si>
  <si>
    <t>返回日期2018-05-10</t>
    <phoneticPr fontId="1" type="noConversion"/>
  </si>
  <si>
    <t>=DATE(2018,5,10)</t>
    <phoneticPr fontId="1" type="noConversion"/>
  </si>
  <si>
    <t>返回日期2018年7月和8月份中的某一天</t>
    <phoneticPr fontId="1" type="noConversion"/>
  </si>
  <si>
    <t>=DATE(2018,3,0)</t>
    <phoneticPr fontId="1" type="noConversion"/>
  </si>
  <si>
    <t>=DATE(2018,RANDBETWEEN(7,8),RANDBETWEEN(1,31))</t>
    <phoneticPr fontId="1" type="noConversion"/>
  </si>
  <si>
    <t>返回时间10:20:45</t>
    <phoneticPr fontId="1" type="noConversion"/>
  </si>
  <si>
    <t>=TIME(10,20,45)</t>
    <phoneticPr fontId="1" type="noConversion"/>
  </si>
  <si>
    <t>返回日期一天中的某一时间</t>
    <phoneticPr fontId="1" type="noConversion"/>
  </si>
  <si>
    <t>=TIME(12,0,0)</t>
    <phoneticPr fontId="1" type="noConversion"/>
  </si>
  <si>
    <t>=TIME(RANDBETWEEN(0,23),RANDBETWEEN(0,59),RANDBETWEEN(0,59))</t>
    <phoneticPr fontId="1" type="noConversion"/>
  </si>
  <si>
    <t>开始时间</t>
    <phoneticPr fontId="1" type="noConversion"/>
  </si>
  <si>
    <t>结束时间</t>
    <phoneticPr fontId="1" type="noConversion"/>
  </si>
  <si>
    <t>返回日期对应的年份</t>
    <phoneticPr fontId="1" type="noConversion"/>
  </si>
  <si>
    <t>返回日期对应的月份</t>
    <phoneticPr fontId="1" type="noConversion"/>
  </si>
  <si>
    <t>返回日期对应的天数</t>
    <phoneticPr fontId="1" type="noConversion"/>
  </si>
  <si>
    <t>返回时间对应的小时</t>
    <phoneticPr fontId="1" type="noConversion"/>
  </si>
  <si>
    <t>返回时间对应的分钟</t>
    <phoneticPr fontId="1" type="noConversion"/>
  </si>
  <si>
    <t>返回时间对应的秒数</t>
    <phoneticPr fontId="1" type="noConversion"/>
  </si>
  <si>
    <t>返回2018年2月份的最后一天</t>
    <phoneticPr fontId="1" type="noConversion"/>
  </si>
  <si>
    <t>返回指定时间的小数值</t>
    <phoneticPr fontId="1" type="noConversion"/>
  </si>
  <si>
    <t>计算两个日期之间的间隔年数</t>
    <phoneticPr fontId="1" type="noConversion"/>
  </si>
  <si>
    <t>计算两个日期之间的间隔月数</t>
    <phoneticPr fontId="1" type="noConversion"/>
  </si>
  <si>
    <t>计算两个日期之间的间隔天数</t>
    <phoneticPr fontId="1" type="noConversion"/>
  </si>
  <si>
    <t>=DATEDIF(A2,B2,"Y")</t>
    <phoneticPr fontId="1" type="noConversion"/>
  </si>
  <si>
    <t>=DATEDIF(A3,B3,"M")</t>
    <phoneticPr fontId="1" type="noConversion"/>
  </si>
  <si>
    <t>=DATEDIF(A4,B4,"D")</t>
    <phoneticPr fontId="1" type="noConversion"/>
  </si>
  <si>
    <t>日期</t>
    <phoneticPr fontId="1" type="noConversion"/>
  </si>
  <si>
    <t>方法一</t>
    <phoneticPr fontId="1" type="noConversion"/>
  </si>
  <si>
    <t>方法二</t>
    <phoneticPr fontId="1" type="noConversion"/>
  </si>
  <si>
    <t>方法三</t>
    <phoneticPr fontId="1" type="noConversion"/>
  </si>
  <si>
    <t>计算日期对应的季度</t>
    <phoneticPr fontId="1" type="noConversion"/>
  </si>
  <si>
    <t>时间段</t>
    <phoneticPr fontId="1" type="noConversion"/>
  </si>
  <si>
    <t>人数</t>
    <phoneticPr fontId="1" type="noConversion"/>
  </si>
  <si>
    <t>[0:00:00~1:00:00)</t>
  </si>
  <si>
    <t>[2:00:00~3:00:00)</t>
  </si>
  <si>
    <t>[3:00:00~4:00:00)</t>
  </si>
  <si>
    <t>[4:00:00~5:00:00)</t>
  </si>
  <si>
    <t>[5:00:00~6:00:00)</t>
  </si>
  <si>
    <t>[6:00:00~7:00:00)</t>
  </si>
  <si>
    <t>[7:00:00~8:00:00)</t>
  </si>
  <si>
    <t>[8:00:00~9:00:00)</t>
  </si>
  <si>
    <t>[9:00:00~10:00:00)</t>
  </si>
  <si>
    <t>[10:00:00~11:00:00)</t>
  </si>
  <si>
    <t>[11:00:00~12:00:00)</t>
  </si>
  <si>
    <t>[12:00:00~13:00:00)</t>
  </si>
  <si>
    <t>[13:00:00~14:00:00)</t>
  </si>
  <si>
    <t>[14:00:00~15:00:00)</t>
  </si>
  <si>
    <t>[15:00:00~16:00:00)</t>
  </si>
  <si>
    <t>[16:00:00~17:00:00)</t>
  </si>
  <si>
    <t>[17:00:00~18:00:00)</t>
  </si>
  <si>
    <t>[18:00:00~19:00:00)</t>
  </si>
  <si>
    <t>[19:00:00~20:00:00)</t>
  </si>
  <si>
    <t>[20:00:00~21:00:00)</t>
  </si>
  <si>
    <t>[21:00:00~22:00:00)</t>
  </si>
  <si>
    <t>[22:00:00~23:00:00)</t>
  </si>
  <si>
    <t>[23:00:00~24:00:00)</t>
  </si>
  <si>
    <t>[1:00:00~2:00:00)</t>
    <phoneticPr fontId="1" type="noConversion"/>
  </si>
  <si>
    <t>区间下限</t>
    <phoneticPr fontId="1" type="noConversion"/>
  </si>
  <si>
    <t>区间上限</t>
    <phoneticPr fontId="1" type="noConversion"/>
  </si>
  <si>
    <t>拼接时间段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</si>
</sst>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76" formatCode="yyyy\-mm\-dd"/>
    <numFmt numFmtId="177" formatCode="0_);[Red]\(0\)"/>
    <numFmt numFmtId="178" formatCode="yyyy\-mm\-dd\ hh:mm:ss"/>
    <numFmt numFmtId="179" formatCode="[$-F400]h:mm:ss\ AM/PM"/>
    <numFmt numFmtId="180" formatCode="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0"/>
      <color theme="1"/>
      <name val="宋体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176" fontId="2" fillId="2" borderId="1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176" fontId="3" fillId="0" borderId="0" xfId="0" applyNumberFormat="1" applyFont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NumberFormat="1" applyFont="1" applyBorder="1" applyAlignment="1">
      <alignment horizontal="center" vertical="center"/>
    </xf>
    <xf numFmtId="18" fontId="3" fillId="0" borderId="1" xfId="0" quotePrefix="1" applyNumberFormat="1" applyFont="1" applyBorder="1" applyAlignment="1">
      <alignment horizontal="center" vertical="center"/>
    </xf>
    <xf numFmtId="22" fontId="3" fillId="0" borderId="1" xfId="0" quotePrefix="1" applyNumberFormat="1" applyFont="1" applyBorder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1" xfId="0" quotePrefix="1" applyNumberFormat="1" applyFont="1" applyBorder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78" fontId="2" fillId="2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Border="1" applyAlignment="1">
      <alignment horizontal="center" vertical="center"/>
    </xf>
    <xf numFmtId="178" fontId="3" fillId="0" borderId="0" xfId="0" applyNumberFormat="1" applyFont="1" applyAlignment="1">
      <alignment horizontal="center" vertical="center"/>
    </xf>
    <xf numFmtId="0" fontId="3" fillId="0" borderId="1" xfId="0" quotePrefix="1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22" fontId="3" fillId="0" borderId="1" xfId="0" quotePrefix="1" applyNumberFormat="1" applyFont="1" applyBorder="1" applyAlignment="1">
      <alignment horizontal="left" vertical="center"/>
    </xf>
    <xf numFmtId="18" fontId="3" fillId="0" borderId="1" xfId="0" quotePrefix="1" applyNumberFormat="1" applyFont="1" applyBorder="1" applyAlignment="1">
      <alignment horizontal="left" vertical="center"/>
    </xf>
    <xf numFmtId="14" fontId="3" fillId="0" borderId="1" xfId="0" quotePrefix="1" applyNumberFormat="1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3" fillId="0" borderId="1" xfId="0" applyFont="1" applyBorder="1" applyAlignment="1">
      <alignment horizontal="center"/>
    </xf>
    <xf numFmtId="17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80" fontId="2" fillId="2" borderId="1" xfId="0" applyNumberFormat="1" applyFont="1" applyFill="1" applyBorder="1" applyAlignment="1">
      <alignment horizontal="center" vertical="center"/>
    </xf>
    <xf numFmtId="180" fontId="3" fillId="0" borderId="1" xfId="0" applyNumberFormat="1" applyFont="1" applyBorder="1" applyAlignment="1">
      <alignment horizontal="center" vertical="center"/>
    </xf>
    <xf numFmtId="180" fontId="0" fillId="0" borderId="0" xfId="0" applyNumberFormat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常规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6764C9D6-A5EA-476F-BCF2-087EF95EE9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showGridLines="0" tabSelected="1" workbookViewId="0">
      <selection activeCell="A3" sqref="A3"/>
    </sheetView>
  </sheetViews>
  <sheetFormatPr defaultRowHeight="15" customHeight="1" x14ac:dyDescent="0.15"/>
  <cols>
    <col min="1" max="1" width="19" style="4" bestFit="1" customWidth="1"/>
    <col min="2" max="2" width="20.625" style="4" bestFit="1" customWidth="1"/>
    <col min="3" max="3" width="10.625" style="10" customWidth="1"/>
    <col min="4" max="5" width="9" style="4"/>
    <col min="6" max="8" width="9" style="5"/>
    <col min="9" max="16384" width="9" style="1"/>
  </cols>
  <sheetData>
    <row r="1" spans="1:3" ht="15" customHeight="1" x14ac:dyDescent="0.15">
      <c r="A1" s="26" t="s">
        <v>0</v>
      </c>
      <c r="B1" s="26" t="s">
        <v>1</v>
      </c>
      <c r="C1" s="3" t="s">
        <v>2</v>
      </c>
    </row>
    <row r="2" spans="1:3" ht="15" customHeight="1" x14ac:dyDescent="0.15">
      <c r="A2" s="24" t="s">
        <v>21</v>
      </c>
      <c r="B2" s="25" t="s">
        <v>3</v>
      </c>
      <c r="C2" s="8">
        <f ca="1">TODAY()</f>
        <v>43575</v>
      </c>
    </row>
    <row r="3" spans="1:3" ht="15" customHeight="1" x14ac:dyDescent="0.15">
      <c r="A3" s="24" t="s">
        <v>22</v>
      </c>
      <c r="B3" s="25" t="s">
        <v>4</v>
      </c>
      <c r="C3" s="8">
        <f ca="1">TODAY()-1</f>
        <v>43574</v>
      </c>
    </row>
    <row r="4" spans="1:3" ht="15" customHeight="1" x14ac:dyDescent="0.15">
      <c r="A4" s="24" t="s">
        <v>23</v>
      </c>
      <c r="B4" s="25" t="s">
        <v>5</v>
      </c>
      <c r="C4" s="8">
        <f ca="1">TODAY()+1</f>
        <v>43576</v>
      </c>
    </row>
    <row r="5" spans="1:3" ht="15" customHeight="1" x14ac:dyDescent="0.15">
      <c r="A5" s="24" t="s">
        <v>24</v>
      </c>
      <c r="B5" s="25" t="s">
        <v>6</v>
      </c>
      <c r="C5" s="9">
        <f ca="1">YEAR(TODAY())-1990</f>
        <v>29</v>
      </c>
    </row>
    <row r="6" spans="1:3" ht="15" customHeight="1" x14ac:dyDescent="0.15">
      <c r="C6" s="4"/>
    </row>
    <row r="7" spans="1:3" ht="15" customHeight="1" x14ac:dyDescent="0.15">
      <c r="C7" s="4"/>
    </row>
    <row r="8" spans="1:3" ht="15" customHeight="1" x14ac:dyDescent="0.15">
      <c r="C8" s="4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58359-323A-48AD-80D8-78C6747D91CD}">
  <dimension ref="A1:H5"/>
  <sheetViews>
    <sheetView showGridLines="0" workbookViewId="0">
      <selection activeCell="B4" sqref="B4"/>
    </sheetView>
  </sheetViews>
  <sheetFormatPr defaultRowHeight="15" customHeight="1" x14ac:dyDescent="0.15"/>
  <cols>
    <col min="1" max="1" width="10.25" style="5" bestFit="1" customWidth="1"/>
    <col min="2" max="2" width="22.375" style="5" bestFit="1" customWidth="1"/>
    <col min="3" max="3" width="18.625" style="23" customWidth="1"/>
    <col min="4" max="5" width="9" style="4"/>
    <col min="6" max="8" width="9" style="5"/>
    <col min="9" max="16384" width="9" style="1"/>
  </cols>
  <sheetData>
    <row r="1" spans="1:3" ht="15" customHeight="1" x14ac:dyDescent="0.15">
      <c r="A1" s="26" t="s">
        <v>0</v>
      </c>
      <c r="B1" s="26" t="s">
        <v>1</v>
      </c>
      <c r="C1" s="21" t="s">
        <v>2</v>
      </c>
    </row>
    <row r="2" spans="1:3" ht="15" customHeight="1" x14ac:dyDescent="0.15">
      <c r="A2" s="24" t="s">
        <v>17</v>
      </c>
      <c r="B2" s="25" t="s">
        <v>7</v>
      </c>
      <c r="C2" s="22">
        <f ca="1">NOW()</f>
        <v>43575.820711111111</v>
      </c>
    </row>
    <row r="3" spans="1:3" ht="15" customHeight="1" x14ac:dyDescent="0.15">
      <c r="A3" s="24" t="s">
        <v>18</v>
      </c>
      <c r="B3" s="25" t="s">
        <v>8</v>
      </c>
      <c r="C3" s="22">
        <f ca="1">NOW()-0.5</f>
        <v>43575.320711111111</v>
      </c>
    </row>
    <row r="4" spans="1:3" ht="15" customHeight="1" x14ac:dyDescent="0.15">
      <c r="A4" s="27" t="s">
        <v>19</v>
      </c>
      <c r="B4" s="25" t="s">
        <v>9</v>
      </c>
      <c r="C4" s="22">
        <f ca="1">NOW()+0.5</f>
        <v>43576.320711111111</v>
      </c>
    </row>
    <row r="5" spans="1:3" ht="15" customHeight="1" x14ac:dyDescent="0.15">
      <c r="A5" s="24" t="s">
        <v>20</v>
      </c>
      <c r="B5" s="25" t="s">
        <v>10</v>
      </c>
      <c r="C5" s="22">
        <f ca="1">NOW()+3</f>
        <v>43578.820711111111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82842-BBF9-4BF4-84EF-D91FCCDE3A54}">
  <dimension ref="A1:H6"/>
  <sheetViews>
    <sheetView showGridLines="0" topLeftCell="A4" workbookViewId="0">
      <selection activeCell="B4" sqref="B4"/>
    </sheetView>
  </sheetViews>
  <sheetFormatPr defaultRowHeight="15" customHeight="1" x14ac:dyDescent="0.15"/>
  <cols>
    <col min="1" max="1" width="20" style="4" bestFit="1" customWidth="1"/>
    <col min="2" max="2" width="16.75" style="4" bestFit="1" customWidth="1"/>
    <col min="3" max="3" width="10.125" style="20" customWidth="1"/>
    <col min="4" max="5" width="9" style="4"/>
    <col min="6" max="8" width="9" style="5"/>
    <col min="9" max="16384" width="9" style="1"/>
  </cols>
  <sheetData>
    <row r="1" spans="1:3" ht="15" customHeight="1" x14ac:dyDescent="0.15">
      <c r="A1" s="26" t="s">
        <v>0</v>
      </c>
      <c r="B1" s="26" t="s">
        <v>1</v>
      </c>
      <c r="C1" s="17" t="s">
        <v>2</v>
      </c>
    </row>
    <row r="2" spans="1:3" ht="15" customHeight="1" x14ac:dyDescent="0.15">
      <c r="A2" s="24" t="s">
        <v>14</v>
      </c>
      <c r="B2" s="25" t="s">
        <v>37</v>
      </c>
      <c r="C2" s="9">
        <f>YEAR("2018-05-01")</f>
        <v>2018</v>
      </c>
    </row>
    <row r="3" spans="1:3" ht="15" customHeight="1" x14ac:dyDescent="0.15">
      <c r="A3" s="24" t="s">
        <v>15</v>
      </c>
      <c r="B3" s="25" t="s">
        <v>38</v>
      </c>
      <c r="C3" s="9">
        <f>MONTH("2018-05-01")</f>
        <v>5</v>
      </c>
    </row>
    <row r="4" spans="1:3" ht="15" customHeight="1" x14ac:dyDescent="0.15">
      <c r="A4" s="27" t="s">
        <v>16</v>
      </c>
      <c r="B4" s="25" t="s">
        <v>39</v>
      </c>
      <c r="C4" s="9">
        <f>DAY("2018-05-01")</f>
        <v>1</v>
      </c>
    </row>
    <row r="5" spans="1:3" ht="15" customHeight="1" x14ac:dyDescent="0.15">
      <c r="A5" s="5"/>
      <c r="B5" s="5"/>
    </row>
    <row r="6" spans="1:3" ht="15" customHeight="1" x14ac:dyDescent="0.15">
      <c r="B6" s="5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E506D9-17F7-4437-9DA7-4B75728D2F46}">
  <dimension ref="A1:H4"/>
  <sheetViews>
    <sheetView showGridLines="0" workbookViewId="0">
      <selection activeCell="B4" sqref="B4"/>
    </sheetView>
  </sheetViews>
  <sheetFormatPr defaultRowHeight="15" customHeight="1" x14ac:dyDescent="0.15"/>
  <cols>
    <col min="1" max="1" width="19" style="4" bestFit="1" customWidth="1"/>
    <col min="2" max="2" width="16.75" style="5" bestFit="1" customWidth="1"/>
    <col min="3" max="3" width="10.125" style="4" customWidth="1"/>
    <col min="4" max="5" width="9" style="4"/>
    <col min="6" max="8" width="9" style="5"/>
    <col min="9" max="16384" width="9" style="1"/>
  </cols>
  <sheetData>
    <row r="1" spans="1:3" ht="15" customHeight="1" x14ac:dyDescent="0.15">
      <c r="A1" s="26" t="s">
        <v>0</v>
      </c>
      <c r="B1" s="26" t="s">
        <v>1</v>
      </c>
      <c r="C1" s="17" t="s">
        <v>2</v>
      </c>
    </row>
    <row r="2" spans="1:3" ht="15" customHeight="1" x14ac:dyDescent="0.15">
      <c r="A2" s="24" t="s">
        <v>11</v>
      </c>
      <c r="B2" s="25" t="s">
        <v>40</v>
      </c>
      <c r="C2" s="7">
        <f>HOUR("12:15:30")</f>
        <v>12</v>
      </c>
    </row>
    <row r="3" spans="1:3" ht="15" customHeight="1" x14ac:dyDescent="0.15">
      <c r="A3" s="24" t="s">
        <v>12</v>
      </c>
      <c r="B3" s="25" t="s">
        <v>41</v>
      </c>
      <c r="C3" s="7">
        <f>MINUTE("12:15:30")</f>
        <v>15</v>
      </c>
    </row>
    <row r="4" spans="1:3" ht="15" customHeight="1" x14ac:dyDescent="0.15">
      <c r="A4" s="27" t="s">
        <v>13</v>
      </c>
      <c r="B4" s="25" t="s">
        <v>42</v>
      </c>
      <c r="C4" s="7">
        <f>SECOND("12:15:30")</f>
        <v>30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17A09-CE0D-447E-850A-D4DAE8A431BD}">
  <dimension ref="A1:H5"/>
  <sheetViews>
    <sheetView showGridLines="0" workbookViewId="0">
      <selection activeCell="B4" sqref="B4"/>
    </sheetView>
  </sheetViews>
  <sheetFormatPr defaultRowHeight="15" customHeight="1" x14ac:dyDescent="0.15"/>
  <cols>
    <col min="1" max="1" width="40.625" style="4" customWidth="1"/>
    <col min="2" max="2" width="29.125" style="4" customWidth="1"/>
    <col min="3" max="3" width="10.125" style="4" customWidth="1"/>
    <col min="4" max="5" width="9" style="4"/>
    <col min="6" max="8" width="9" style="5"/>
    <col min="9" max="16384" width="9" style="1"/>
  </cols>
  <sheetData>
    <row r="1" spans="1:3" ht="15" customHeight="1" x14ac:dyDescent="0.15">
      <c r="A1" s="26" t="s">
        <v>0</v>
      </c>
      <c r="B1" s="26" t="s">
        <v>1</v>
      </c>
      <c r="C1" s="17" t="s">
        <v>2</v>
      </c>
    </row>
    <row r="2" spans="1:3" ht="15" customHeight="1" x14ac:dyDescent="0.15">
      <c r="A2" s="24" t="s">
        <v>26</v>
      </c>
      <c r="B2" s="25" t="s">
        <v>25</v>
      </c>
      <c r="C2" s="12">
        <f>DATE(2018,5,10)</f>
        <v>43230</v>
      </c>
    </row>
    <row r="3" spans="1:3" ht="15" customHeight="1" x14ac:dyDescent="0.15">
      <c r="A3" s="24" t="s">
        <v>28</v>
      </c>
      <c r="B3" s="25" t="s">
        <v>43</v>
      </c>
      <c r="C3" s="12">
        <f>DATE(2018,3,0)</f>
        <v>43159</v>
      </c>
    </row>
    <row r="4" spans="1:3" ht="15" customHeight="1" x14ac:dyDescent="0.15">
      <c r="A4" s="27" t="s">
        <v>29</v>
      </c>
      <c r="B4" s="25" t="s">
        <v>27</v>
      </c>
      <c r="C4" s="12">
        <f ca="1">DATE(2018,RANDBETWEEN(7,8),RANDBETWEEN(1,31))</f>
        <v>43297</v>
      </c>
    </row>
    <row r="5" spans="1:3" ht="15" customHeight="1" x14ac:dyDescent="0.15">
      <c r="A5" s="5"/>
      <c r="B5" s="5"/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BE8D6-5B01-4E06-8A7D-9A9D8AD7B6E7}">
  <dimension ref="A1:H4"/>
  <sheetViews>
    <sheetView showGridLines="0" workbookViewId="0">
      <selection activeCell="B4" sqref="B4"/>
    </sheetView>
  </sheetViews>
  <sheetFormatPr defaultRowHeight="15" customHeight="1" x14ac:dyDescent="0.15"/>
  <cols>
    <col min="1" max="1" width="53" style="4" customWidth="1"/>
    <col min="2" max="2" width="20.125" style="4" customWidth="1"/>
    <col min="3" max="3" width="10.125" style="4" customWidth="1"/>
    <col min="4" max="5" width="9" style="4"/>
    <col min="6" max="8" width="9" style="5"/>
    <col min="9" max="16384" width="9" style="1"/>
  </cols>
  <sheetData>
    <row r="1" spans="1:3" ht="15" customHeight="1" x14ac:dyDescent="0.15">
      <c r="A1" s="26" t="s">
        <v>0</v>
      </c>
      <c r="B1" s="26" t="s">
        <v>1</v>
      </c>
      <c r="C1" s="17" t="s">
        <v>2</v>
      </c>
    </row>
    <row r="2" spans="1:3" ht="15" customHeight="1" x14ac:dyDescent="0.15">
      <c r="A2" s="24" t="s">
        <v>31</v>
      </c>
      <c r="B2" s="25" t="s">
        <v>30</v>
      </c>
      <c r="C2" s="18">
        <f>TIME(10,20,45)</f>
        <v>0.43107638888888888</v>
      </c>
    </row>
    <row r="3" spans="1:3" ht="15" customHeight="1" x14ac:dyDescent="0.15">
      <c r="A3" s="28" t="s">
        <v>33</v>
      </c>
      <c r="B3" s="25" t="s">
        <v>44</v>
      </c>
      <c r="C3" s="19">
        <f>TIME(12,0,0)</f>
        <v>0.5</v>
      </c>
    </row>
    <row r="4" spans="1:3" ht="15" customHeight="1" x14ac:dyDescent="0.15">
      <c r="A4" s="27" t="s">
        <v>34</v>
      </c>
      <c r="B4" s="25" t="s">
        <v>32</v>
      </c>
      <c r="C4" s="18">
        <f ca="1">TIME(RANDBETWEEN(1,23),RANDBETWEEN(1,59),RANDBETWEEN(1,59))</f>
        <v>0.35695601851851855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A9D35-5758-4E50-BD8E-F0CCD2AEC4E9}">
  <dimension ref="A1:H4"/>
  <sheetViews>
    <sheetView showGridLines="0" workbookViewId="0">
      <selection activeCell="B4" sqref="B4"/>
    </sheetView>
  </sheetViews>
  <sheetFormatPr defaultRowHeight="15" customHeight="1" x14ac:dyDescent="0.15"/>
  <cols>
    <col min="1" max="1" width="8.5" style="4" bestFit="1" customWidth="1"/>
    <col min="2" max="2" width="9.375" style="4" bestFit="1" customWidth="1"/>
    <col min="3" max="3" width="19" style="4" bestFit="1" customWidth="1"/>
    <col min="4" max="4" width="24" style="4" bestFit="1" customWidth="1"/>
    <col min="5" max="5" width="10.125" style="16" customWidth="1"/>
    <col min="6" max="8" width="9" style="5"/>
    <col min="9" max="16384" width="9" style="1"/>
  </cols>
  <sheetData>
    <row r="1" spans="1:5" ht="15" customHeight="1" x14ac:dyDescent="0.15">
      <c r="A1" s="2" t="s">
        <v>35</v>
      </c>
      <c r="B1" s="2" t="s">
        <v>36</v>
      </c>
      <c r="C1" s="2" t="s">
        <v>0</v>
      </c>
      <c r="D1" s="2" t="s">
        <v>1</v>
      </c>
      <c r="E1" s="11" t="s">
        <v>2</v>
      </c>
    </row>
    <row r="2" spans="1:5" ht="15" customHeight="1" x14ac:dyDescent="0.15">
      <c r="A2" s="12">
        <v>42887</v>
      </c>
      <c r="B2" s="12">
        <v>43291</v>
      </c>
      <c r="C2" s="6" t="s">
        <v>48</v>
      </c>
      <c r="D2" s="7" t="s">
        <v>45</v>
      </c>
      <c r="E2" s="13">
        <f>DATEDIF(A2,B2,"Y")</f>
        <v>1</v>
      </c>
    </row>
    <row r="3" spans="1:5" ht="15" customHeight="1" x14ac:dyDescent="0.15">
      <c r="A3" s="12">
        <v>42887</v>
      </c>
      <c r="B3" s="12">
        <v>43291</v>
      </c>
      <c r="C3" s="14" t="s">
        <v>49</v>
      </c>
      <c r="D3" s="7" t="s">
        <v>46</v>
      </c>
      <c r="E3" s="13">
        <f>DATEDIF(A3,B3,"M")</f>
        <v>13</v>
      </c>
    </row>
    <row r="4" spans="1:5" ht="15" customHeight="1" x14ac:dyDescent="0.15">
      <c r="A4" s="12">
        <v>42887</v>
      </c>
      <c r="B4" s="12">
        <v>43291</v>
      </c>
      <c r="C4" s="15" t="s">
        <v>50</v>
      </c>
      <c r="D4" s="7" t="s">
        <v>47</v>
      </c>
      <c r="E4" s="13">
        <f>DATEDIF(A4,B4,"D")</f>
        <v>404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BE891F-8702-45AC-B761-599A9DB57911}">
  <dimension ref="A1:E11"/>
  <sheetViews>
    <sheetView showGridLines="0" workbookViewId="0">
      <selection activeCell="D4" sqref="D4"/>
    </sheetView>
  </sheetViews>
  <sheetFormatPr defaultRowHeight="15" customHeight="1" x14ac:dyDescent="0.2"/>
  <cols>
    <col min="1" max="1" width="11.125" style="30" bestFit="1" customWidth="1"/>
    <col min="2" max="2" width="16.5" style="30" customWidth="1"/>
    <col min="3" max="5" width="10.125" style="31" customWidth="1"/>
  </cols>
  <sheetData>
    <row r="1" spans="1:5" ht="15" customHeight="1" x14ac:dyDescent="0.2">
      <c r="A1" s="2" t="s">
        <v>51</v>
      </c>
      <c r="B1" s="2" t="s">
        <v>1</v>
      </c>
      <c r="C1" s="17" t="s">
        <v>52</v>
      </c>
      <c r="D1" s="17" t="s">
        <v>53</v>
      </c>
      <c r="E1" s="17" t="s">
        <v>54</v>
      </c>
    </row>
    <row r="2" spans="1:5" ht="15" customHeight="1" x14ac:dyDescent="0.2">
      <c r="A2" s="29">
        <v>43110</v>
      </c>
      <c r="B2" s="38" t="s">
        <v>55</v>
      </c>
      <c r="C2" s="7">
        <f>IF(MONTH(A2)&lt;=3,1,IF(MONTH(A2)&lt;=6,2,IF(MONTH(A2)&lt;=9,3,4)))</f>
        <v>1</v>
      </c>
      <c r="D2" s="32">
        <f>CEILING(MONTH(A2)/3,1)</f>
        <v>1</v>
      </c>
      <c r="E2" s="32">
        <f>MATCH(MONTH(A2),{1,4,7,10},1)</f>
        <v>1</v>
      </c>
    </row>
    <row r="3" spans="1:5" ht="15" customHeight="1" x14ac:dyDescent="0.2">
      <c r="A3" s="29">
        <v>43142</v>
      </c>
      <c r="B3" s="39"/>
      <c r="C3" s="7">
        <f t="shared" ref="C3:C11" si="0">IF(MONTH(A3)&lt;=3,1,IF(MONTH(A3)&lt;=6,2,IF(MONTH(A3)&lt;=9,3,4)))</f>
        <v>1</v>
      </c>
      <c r="D3" s="32">
        <f t="shared" ref="D3:D11" si="1">CEILING(MONTH(A3)/3,1)</f>
        <v>1</v>
      </c>
      <c r="E3" s="32">
        <f>MATCH(MONTH(A3),{1,4,7,10},1)</f>
        <v>1</v>
      </c>
    </row>
    <row r="4" spans="1:5" ht="15" customHeight="1" x14ac:dyDescent="0.2">
      <c r="A4" s="29">
        <v>43174</v>
      </c>
      <c r="B4" s="39"/>
      <c r="C4" s="7">
        <f t="shared" si="0"/>
        <v>1</v>
      </c>
      <c r="D4" s="32">
        <f t="shared" si="1"/>
        <v>1</v>
      </c>
      <c r="E4" s="32">
        <f>MATCH(MONTH(A4),{1,4,7,10},1)</f>
        <v>1</v>
      </c>
    </row>
    <row r="5" spans="1:5" ht="15" customHeight="1" x14ac:dyDescent="0.2">
      <c r="A5" s="29">
        <v>43238</v>
      </c>
      <c r="B5" s="39"/>
      <c r="C5" s="7">
        <f t="shared" si="0"/>
        <v>2</v>
      </c>
      <c r="D5" s="32">
        <f t="shared" si="1"/>
        <v>2</v>
      </c>
      <c r="E5" s="32">
        <f>MATCH(MONTH(A5),{1,4,7,10},1)</f>
        <v>2</v>
      </c>
    </row>
    <row r="6" spans="1:5" ht="15" customHeight="1" x14ac:dyDescent="0.2">
      <c r="A6" s="29">
        <v>43270</v>
      </c>
      <c r="B6" s="39"/>
      <c r="C6" s="7">
        <f t="shared" si="0"/>
        <v>2</v>
      </c>
      <c r="D6" s="32">
        <f t="shared" si="1"/>
        <v>2</v>
      </c>
      <c r="E6" s="32">
        <f>MATCH(MONTH(A6),{1,4,7,10},1)</f>
        <v>2</v>
      </c>
    </row>
    <row r="7" spans="1:5" ht="15" customHeight="1" x14ac:dyDescent="0.2">
      <c r="A7" s="29">
        <v>43334</v>
      </c>
      <c r="B7" s="39"/>
      <c r="C7" s="7">
        <f t="shared" si="0"/>
        <v>3</v>
      </c>
      <c r="D7" s="32">
        <f t="shared" si="1"/>
        <v>3</v>
      </c>
      <c r="E7" s="32">
        <f>MATCH(MONTH(A7),{1,4,7,10},1)</f>
        <v>3</v>
      </c>
    </row>
    <row r="8" spans="1:5" ht="15" customHeight="1" x14ac:dyDescent="0.2">
      <c r="A8" s="29">
        <v>43366</v>
      </c>
      <c r="B8" s="39"/>
      <c r="C8" s="7">
        <f t="shared" si="0"/>
        <v>3</v>
      </c>
      <c r="D8" s="32">
        <f t="shared" si="1"/>
        <v>3</v>
      </c>
      <c r="E8" s="32">
        <f>MATCH(MONTH(A8),{1,4,7,10},1)</f>
        <v>3</v>
      </c>
    </row>
    <row r="9" spans="1:5" ht="15" customHeight="1" x14ac:dyDescent="0.2">
      <c r="A9" s="29">
        <v>43398</v>
      </c>
      <c r="B9" s="39"/>
      <c r="C9" s="7">
        <f t="shared" si="0"/>
        <v>4</v>
      </c>
      <c r="D9" s="32">
        <f t="shared" si="1"/>
        <v>4</v>
      </c>
      <c r="E9" s="32">
        <f>MATCH(MONTH(A9),{1,4,7,10},1)</f>
        <v>4</v>
      </c>
    </row>
    <row r="10" spans="1:5" ht="15" customHeight="1" x14ac:dyDescent="0.2">
      <c r="A10" s="29">
        <v>43430</v>
      </c>
      <c r="B10" s="39"/>
      <c r="C10" s="7">
        <f t="shared" si="0"/>
        <v>4</v>
      </c>
      <c r="D10" s="32">
        <f t="shared" si="1"/>
        <v>4</v>
      </c>
      <c r="E10" s="32">
        <f>MATCH(MONTH(A10),{1,4,7,10},1)</f>
        <v>4</v>
      </c>
    </row>
    <row r="11" spans="1:5" ht="15" customHeight="1" x14ac:dyDescent="0.2">
      <c r="A11" s="29">
        <v>43462</v>
      </c>
      <c r="B11" s="40"/>
      <c r="C11" s="7">
        <f t="shared" si="0"/>
        <v>4</v>
      </c>
      <c r="D11" s="32">
        <f t="shared" si="1"/>
        <v>4</v>
      </c>
      <c r="E11" s="32">
        <f>MATCH(MONTH(A11),{1,4,7,10},1)</f>
        <v>4</v>
      </c>
    </row>
  </sheetData>
  <mergeCells count="1">
    <mergeCell ref="B2:B11"/>
  </mergeCells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5A177-8BD8-4783-8225-FA5A44883F02}">
  <dimension ref="A1:G25"/>
  <sheetViews>
    <sheetView showGridLines="0" workbookViewId="0">
      <selection activeCell="I30" sqref="I30"/>
    </sheetView>
  </sheetViews>
  <sheetFormatPr defaultRowHeight="15" customHeight="1" x14ac:dyDescent="0.2"/>
  <cols>
    <col min="1" max="1" width="8.5" style="34" bestFit="1" customWidth="1"/>
    <col min="2" max="3" width="8.5" style="37" bestFit="1" customWidth="1"/>
    <col min="4" max="4" width="19" style="34" bestFit="1" customWidth="1"/>
    <col min="5" max="5" width="9" style="34"/>
    <col min="6" max="6" width="19" style="34" bestFit="1" customWidth="1"/>
    <col min="7" max="7" width="8.875" style="34" customWidth="1"/>
  </cols>
  <sheetData>
    <row r="1" spans="1:7" ht="15" customHeight="1" x14ac:dyDescent="0.2">
      <c r="A1" s="33" t="s">
        <v>51</v>
      </c>
      <c r="B1" s="35" t="s">
        <v>82</v>
      </c>
      <c r="C1" s="35" t="s">
        <v>83</v>
      </c>
      <c r="D1" s="33" t="s">
        <v>84</v>
      </c>
      <c r="F1" s="33" t="s">
        <v>56</v>
      </c>
      <c r="G1" s="33" t="s">
        <v>57</v>
      </c>
    </row>
    <row r="2" spans="1:7" ht="15" customHeight="1" x14ac:dyDescent="0.2">
      <c r="A2" s="18">
        <v>1.3877314814814815E-2</v>
      </c>
      <c r="B2" s="36">
        <f>HOUR(A2)</f>
        <v>0</v>
      </c>
      <c r="C2" s="36">
        <f>B2+1</f>
        <v>1</v>
      </c>
      <c r="D2" s="18" t="str">
        <f>"["&amp;B2&amp;":00:00~"&amp;C2&amp;":00:00)"</f>
        <v>[0:00:00~1:00:00)</v>
      </c>
      <c r="F2" s="18" t="s">
        <v>58</v>
      </c>
      <c r="G2" s="9">
        <f>COUNTIFS(D:D,F2)</f>
        <v>1</v>
      </c>
    </row>
    <row r="3" spans="1:7" ht="15" customHeight="1" x14ac:dyDescent="0.2">
      <c r="A3" s="18">
        <v>0.17521990740740742</v>
      </c>
      <c r="B3" s="36">
        <f t="shared" ref="B3:B21" si="0">HOUR(A3)</f>
        <v>4</v>
      </c>
      <c r="C3" s="36">
        <f t="shared" ref="C3:C21" si="1">B3+1</f>
        <v>5</v>
      </c>
      <c r="D3" s="18" t="str">
        <f t="shared" ref="D3:D21" si="2">"["&amp;B3&amp;":00:00~"&amp;C3&amp;":00:00)"</f>
        <v>[4:00:00~5:00:00)</v>
      </c>
      <c r="F3" s="18" t="s">
        <v>81</v>
      </c>
      <c r="G3" s="9">
        <f t="shared" ref="G3:G25" si="3">COUNTIFS(D:D,F3)</f>
        <v>0</v>
      </c>
    </row>
    <row r="4" spans="1:7" ht="15" customHeight="1" x14ac:dyDescent="0.2">
      <c r="A4" s="18">
        <v>0.34879629629629627</v>
      </c>
      <c r="B4" s="36">
        <f t="shared" si="0"/>
        <v>8</v>
      </c>
      <c r="C4" s="36">
        <f t="shared" si="1"/>
        <v>9</v>
      </c>
      <c r="D4" s="18" t="str">
        <f t="shared" si="2"/>
        <v>[8:00:00~9:00:00)</v>
      </c>
      <c r="F4" s="18" t="s">
        <v>59</v>
      </c>
      <c r="G4" s="9">
        <f t="shared" si="3"/>
        <v>0</v>
      </c>
    </row>
    <row r="5" spans="1:7" ht="15" customHeight="1" x14ac:dyDescent="0.2">
      <c r="A5" s="18">
        <v>0.375</v>
      </c>
      <c r="B5" s="36">
        <f t="shared" si="0"/>
        <v>9</v>
      </c>
      <c r="C5" s="36">
        <f t="shared" si="1"/>
        <v>10</v>
      </c>
      <c r="D5" s="18" t="str">
        <f t="shared" si="2"/>
        <v>[9:00:00~10:00:00)</v>
      </c>
      <c r="F5" s="18" t="s">
        <v>60</v>
      </c>
      <c r="G5" s="9">
        <f t="shared" si="3"/>
        <v>0</v>
      </c>
    </row>
    <row r="6" spans="1:7" ht="15" customHeight="1" x14ac:dyDescent="0.2">
      <c r="A6" s="18">
        <v>0.38268518518518518</v>
      </c>
      <c r="B6" s="36">
        <f t="shared" si="0"/>
        <v>9</v>
      </c>
      <c r="C6" s="36">
        <f t="shared" si="1"/>
        <v>10</v>
      </c>
      <c r="D6" s="18" t="str">
        <f t="shared" si="2"/>
        <v>[9:00:00~10:00:00)</v>
      </c>
      <c r="F6" s="18" t="s">
        <v>61</v>
      </c>
      <c r="G6" s="9">
        <f t="shared" si="3"/>
        <v>1</v>
      </c>
    </row>
    <row r="7" spans="1:7" ht="15" customHeight="1" x14ac:dyDescent="0.2">
      <c r="A7" s="18">
        <v>0.40188657407407408</v>
      </c>
      <c r="B7" s="36">
        <f t="shared" si="0"/>
        <v>9</v>
      </c>
      <c r="C7" s="36">
        <f t="shared" si="1"/>
        <v>10</v>
      </c>
      <c r="D7" s="18" t="str">
        <f t="shared" si="2"/>
        <v>[9:00:00~10:00:00)</v>
      </c>
      <c r="F7" s="18" t="s">
        <v>62</v>
      </c>
      <c r="G7" s="9">
        <f t="shared" si="3"/>
        <v>0</v>
      </c>
    </row>
    <row r="8" spans="1:7" ht="15" customHeight="1" x14ac:dyDescent="0.2">
      <c r="A8" s="18">
        <v>0.40297453703703701</v>
      </c>
      <c r="B8" s="36">
        <f t="shared" si="0"/>
        <v>9</v>
      </c>
      <c r="C8" s="36">
        <f t="shared" si="1"/>
        <v>10</v>
      </c>
      <c r="D8" s="18" t="str">
        <f t="shared" si="2"/>
        <v>[9:00:00~10:00:00)</v>
      </c>
      <c r="F8" s="18" t="s">
        <v>63</v>
      </c>
      <c r="G8" s="9">
        <f t="shared" si="3"/>
        <v>0</v>
      </c>
    </row>
    <row r="9" spans="1:7" ht="15" customHeight="1" x14ac:dyDescent="0.2">
      <c r="A9" s="18">
        <v>0.45833333333333331</v>
      </c>
      <c r="B9" s="36">
        <f t="shared" si="0"/>
        <v>11</v>
      </c>
      <c r="C9" s="36">
        <f t="shared" si="1"/>
        <v>12</v>
      </c>
      <c r="D9" s="18" t="str">
        <f t="shared" si="2"/>
        <v>[11:00:00~12:00:00)</v>
      </c>
      <c r="F9" s="18" t="s">
        <v>64</v>
      </c>
      <c r="G9" s="9">
        <f t="shared" si="3"/>
        <v>0</v>
      </c>
    </row>
    <row r="10" spans="1:7" ht="15" customHeight="1" x14ac:dyDescent="0.2">
      <c r="A10" s="18">
        <v>0.49521990740740746</v>
      </c>
      <c r="B10" s="36">
        <f t="shared" si="0"/>
        <v>11</v>
      </c>
      <c r="C10" s="36">
        <f t="shared" si="1"/>
        <v>12</v>
      </c>
      <c r="D10" s="18" t="str">
        <f t="shared" si="2"/>
        <v>[11:00:00~12:00:00)</v>
      </c>
      <c r="F10" s="18" t="s">
        <v>65</v>
      </c>
      <c r="G10" s="9">
        <f t="shared" si="3"/>
        <v>1</v>
      </c>
    </row>
    <row r="11" spans="1:7" ht="15" customHeight="1" x14ac:dyDescent="0.2">
      <c r="A11" s="18">
        <v>0.49708333333333332</v>
      </c>
      <c r="B11" s="36">
        <f t="shared" si="0"/>
        <v>11</v>
      </c>
      <c r="C11" s="36">
        <f t="shared" si="1"/>
        <v>12</v>
      </c>
      <c r="D11" s="18" t="str">
        <f t="shared" si="2"/>
        <v>[11:00:00~12:00:00)</v>
      </c>
      <c r="F11" s="18" t="s">
        <v>66</v>
      </c>
      <c r="G11" s="9">
        <f t="shared" si="3"/>
        <v>4</v>
      </c>
    </row>
    <row r="12" spans="1:7" ht="15" customHeight="1" x14ac:dyDescent="0.2">
      <c r="A12" s="18">
        <v>0.54020833333333329</v>
      </c>
      <c r="B12" s="36">
        <f t="shared" si="0"/>
        <v>12</v>
      </c>
      <c r="C12" s="36">
        <f t="shared" si="1"/>
        <v>13</v>
      </c>
      <c r="D12" s="18" t="str">
        <f t="shared" si="2"/>
        <v>[12:00:00~13:00:00)</v>
      </c>
      <c r="F12" s="18" t="s">
        <v>67</v>
      </c>
      <c r="G12" s="9">
        <f t="shared" si="3"/>
        <v>0</v>
      </c>
    </row>
    <row r="13" spans="1:7" ht="15" customHeight="1" x14ac:dyDescent="0.2">
      <c r="A13" s="18">
        <v>0.55081018518518521</v>
      </c>
      <c r="B13" s="36">
        <f t="shared" si="0"/>
        <v>13</v>
      </c>
      <c r="C13" s="36">
        <f t="shared" si="1"/>
        <v>14</v>
      </c>
      <c r="D13" s="18" t="str">
        <f t="shared" si="2"/>
        <v>[13:00:00~14:00:00)</v>
      </c>
      <c r="F13" s="18" t="s">
        <v>68</v>
      </c>
      <c r="G13" s="9">
        <f>COUNTIFS(D:D,F13)</f>
        <v>3</v>
      </c>
    </row>
    <row r="14" spans="1:7" ht="15" customHeight="1" x14ac:dyDescent="0.2">
      <c r="A14" s="18">
        <v>0.63733796296296297</v>
      </c>
      <c r="B14" s="36">
        <f t="shared" si="0"/>
        <v>15</v>
      </c>
      <c r="C14" s="36">
        <f t="shared" si="1"/>
        <v>16</v>
      </c>
      <c r="D14" s="18" t="str">
        <f t="shared" si="2"/>
        <v>[15:00:00~16:00:00)</v>
      </c>
      <c r="F14" s="18" t="s">
        <v>69</v>
      </c>
      <c r="G14" s="9">
        <f t="shared" si="3"/>
        <v>1</v>
      </c>
    </row>
    <row r="15" spans="1:7" ht="15" customHeight="1" x14ac:dyDescent="0.2">
      <c r="A15" s="18">
        <v>0.67202546296296306</v>
      </c>
      <c r="B15" s="36">
        <f t="shared" si="0"/>
        <v>16</v>
      </c>
      <c r="C15" s="36">
        <f t="shared" si="1"/>
        <v>17</v>
      </c>
      <c r="D15" s="18" t="str">
        <f t="shared" si="2"/>
        <v>[16:00:00~17:00:00)</v>
      </c>
      <c r="F15" s="18" t="s">
        <v>70</v>
      </c>
      <c r="G15" s="9">
        <f t="shared" si="3"/>
        <v>1</v>
      </c>
    </row>
    <row r="16" spans="1:7" ht="15" customHeight="1" x14ac:dyDescent="0.2">
      <c r="A16" s="18">
        <v>0.69451388888888888</v>
      </c>
      <c r="B16" s="36">
        <f t="shared" si="0"/>
        <v>16</v>
      </c>
      <c r="C16" s="36">
        <f t="shared" si="1"/>
        <v>17</v>
      </c>
      <c r="D16" s="18" t="str">
        <f t="shared" si="2"/>
        <v>[16:00:00~17:00:00)</v>
      </c>
      <c r="F16" s="18" t="s">
        <v>71</v>
      </c>
      <c r="G16" s="9">
        <f t="shared" si="3"/>
        <v>0</v>
      </c>
    </row>
    <row r="17" spans="1:7" ht="15" customHeight="1" x14ac:dyDescent="0.2">
      <c r="A17" s="18">
        <v>0.70736111111111111</v>
      </c>
      <c r="B17" s="36">
        <f t="shared" si="0"/>
        <v>16</v>
      </c>
      <c r="C17" s="36">
        <f t="shared" si="1"/>
        <v>17</v>
      </c>
      <c r="D17" s="18" t="str">
        <f t="shared" si="2"/>
        <v>[16:00:00~17:00:00)</v>
      </c>
      <c r="F17" s="18" t="s">
        <v>72</v>
      </c>
      <c r="G17" s="9">
        <f t="shared" si="3"/>
        <v>1</v>
      </c>
    </row>
    <row r="18" spans="1:7" ht="15" customHeight="1" x14ac:dyDescent="0.2">
      <c r="A18" s="18">
        <v>0.70960648148148142</v>
      </c>
      <c r="B18" s="36">
        <f t="shared" si="0"/>
        <v>17</v>
      </c>
      <c r="C18" s="36">
        <f t="shared" si="1"/>
        <v>18</v>
      </c>
      <c r="D18" s="18" t="str">
        <f t="shared" si="2"/>
        <v>[17:00:00~18:00:00)</v>
      </c>
      <c r="F18" s="18" t="s">
        <v>73</v>
      </c>
      <c r="G18" s="9">
        <f t="shared" si="3"/>
        <v>3</v>
      </c>
    </row>
    <row r="19" spans="1:7" ht="15" customHeight="1" x14ac:dyDescent="0.2">
      <c r="A19" s="18">
        <v>0.78409722222222233</v>
      </c>
      <c r="B19" s="36">
        <f t="shared" si="0"/>
        <v>18</v>
      </c>
      <c r="C19" s="36">
        <f t="shared" si="1"/>
        <v>19</v>
      </c>
      <c r="D19" s="18" t="str">
        <f t="shared" si="2"/>
        <v>[18:00:00~19:00:00)</v>
      </c>
      <c r="F19" s="18" t="s">
        <v>74</v>
      </c>
      <c r="G19" s="9">
        <f t="shared" si="3"/>
        <v>1</v>
      </c>
    </row>
    <row r="20" spans="1:7" ht="15" customHeight="1" x14ac:dyDescent="0.2">
      <c r="A20" s="18">
        <v>0.92715277777777771</v>
      </c>
      <c r="B20" s="36">
        <f t="shared" si="0"/>
        <v>22</v>
      </c>
      <c r="C20" s="36">
        <f t="shared" si="1"/>
        <v>23</v>
      </c>
      <c r="D20" s="18" t="str">
        <f t="shared" si="2"/>
        <v>[22:00:00~23:00:00)</v>
      </c>
      <c r="F20" s="18" t="s">
        <v>75</v>
      </c>
      <c r="G20" s="9">
        <f t="shared" si="3"/>
        <v>1</v>
      </c>
    </row>
    <row r="21" spans="1:7" ht="15" customHeight="1" x14ac:dyDescent="0.2">
      <c r="A21" s="18">
        <v>0.98302083333333334</v>
      </c>
      <c r="B21" s="36">
        <f t="shared" si="0"/>
        <v>23</v>
      </c>
      <c r="C21" s="36">
        <f t="shared" si="1"/>
        <v>24</v>
      </c>
      <c r="D21" s="18" t="str">
        <f t="shared" si="2"/>
        <v>[23:00:00~24:00:00)</v>
      </c>
      <c r="F21" s="18" t="s">
        <v>76</v>
      </c>
      <c r="G21" s="9">
        <f t="shared" si="3"/>
        <v>0</v>
      </c>
    </row>
    <row r="22" spans="1:7" ht="15" customHeight="1" x14ac:dyDescent="0.2">
      <c r="F22" s="18" t="s">
        <v>77</v>
      </c>
      <c r="G22" s="9">
        <f t="shared" si="3"/>
        <v>0</v>
      </c>
    </row>
    <row r="23" spans="1:7" ht="15" customHeight="1" x14ac:dyDescent="0.2">
      <c r="F23" s="18" t="s">
        <v>78</v>
      </c>
      <c r="G23" s="9">
        <f t="shared" si="3"/>
        <v>0</v>
      </c>
    </row>
    <row r="24" spans="1:7" ht="15" customHeight="1" x14ac:dyDescent="0.2">
      <c r="F24" s="18" t="s">
        <v>79</v>
      </c>
      <c r="G24" s="9">
        <f t="shared" si="3"/>
        <v>1</v>
      </c>
    </row>
    <row r="25" spans="1:7" ht="15" customHeight="1" x14ac:dyDescent="0.2">
      <c r="F25" s="18" t="s">
        <v>80</v>
      </c>
      <c r="G25" s="9">
        <f t="shared" si="3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TODAY</vt:lpstr>
      <vt:lpstr>NOW</vt:lpstr>
      <vt:lpstr>YEAR~MONTH~DAY</vt:lpstr>
      <vt:lpstr>HOUR~MINUTE~SECOND</vt:lpstr>
      <vt:lpstr>DATE</vt:lpstr>
      <vt:lpstr>TIME</vt:lpstr>
      <vt:lpstr>DATEDIF</vt:lpstr>
      <vt:lpstr>实战一</vt:lpstr>
      <vt:lpstr>实战二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2019-04-20T11:42:39Z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89bc8e92-ed8b-45e2-a774-b11742535f38</vt:lpwstr>
  </property>
</Properties>
</file>