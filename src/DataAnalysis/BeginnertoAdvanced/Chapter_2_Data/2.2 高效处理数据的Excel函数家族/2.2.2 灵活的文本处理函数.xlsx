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20" yWindow="-120" windowWidth="24240" windowHeight="13140" tabRatio="913" activeTab="13"/>
  </bookViews>
  <sheets>
    <sheet name="LEN&amp;LENB" sheetId="1" r:id="rId1"/>
    <sheet name="LEFT" sheetId="2" r:id="rId2"/>
    <sheet name="RIGHT" sheetId="3" r:id="rId3"/>
    <sheet name="MID" sheetId="4" r:id="rId4"/>
    <sheet name="UPPER-LOWER" sheetId="5" r:id="rId5"/>
    <sheet name="FIND" sheetId="6" r:id="rId6"/>
    <sheet name="SEARCH" sheetId="7" r:id="rId7"/>
    <sheet name="SUBSTITUTE" sheetId="8" r:id="rId8"/>
    <sheet name="REPLACE" sheetId="9" r:id="rId9"/>
    <sheet name="CONCATENATE" sheetId="10" r:id="rId10"/>
    <sheet name="EXACT" sheetId="11" r:id="rId11"/>
    <sheet name="TRIM" sheetId="12" r:id="rId12"/>
    <sheet name="实战1" sheetId="13" r:id="rId13"/>
    <sheet name="实战2" sheetId="14" r:id="rId14"/>
    <sheet name="实战3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2" l="1"/>
  <c r="I3" i="2"/>
  <c r="I2" i="2"/>
  <c r="F2" i="14" l="1"/>
  <c r="E2" i="14"/>
  <c r="F3" i="14"/>
  <c r="F4" i="14"/>
  <c r="F5" i="14"/>
  <c r="E3" i="14"/>
  <c r="E4" i="14"/>
  <c r="E5" i="14"/>
  <c r="E3" i="13"/>
  <c r="D4" i="13"/>
  <c r="D3" i="13"/>
  <c r="C3" i="13"/>
  <c r="B3" i="13"/>
  <c r="E4" i="13"/>
  <c r="E5" i="13"/>
  <c r="E6" i="13"/>
  <c r="E7" i="13"/>
  <c r="E8" i="13"/>
  <c r="C4" i="13"/>
  <c r="C5" i="13"/>
  <c r="C6" i="13"/>
  <c r="C7" i="13"/>
  <c r="C8" i="13"/>
  <c r="E3" i="12" l="1"/>
  <c r="E2" i="12"/>
  <c r="E4" i="12" s="1"/>
  <c r="E3" i="11"/>
  <c r="E2" i="11"/>
  <c r="D2" i="8"/>
  <c r="E3" i="10"/>
  <c r="E2" i="10"/>
  <c r="D3" i="9" l="1"/>
  <c r="D2" i="9"/>
  <c r="D5" i="8" l="1"/>
  <c r="D4" i="8"/>
  <c r="D3" i="8"/>
  <c r="E5" i="7"/>
  <c r="E4" i="7"/>
  <c r="E3" i="7"/>
  <c r="E2" i="7"/>
  <c r="E4" i="6"/>
  <c r="E3" i="6"/>
  <c r="E2" i="6"/>
  <c r="E2" i="5"/>
  <c r="E3" i="5"/>
  <c r="E2" i="4"/>
  <c r="E2" i="3"/>
  <c r="E2" i="2"/>
  <c r="E2" i="1"/>
  <c r="E3" i="1"/>
  <c r="E5" i="15" l="1" a="1"/>
  <c r="E5" i="15" s="1"/>
  <c r="D5" i="15" a="1"/>
  <c r="D5" i="15" s="1"/>
  <c r="E4" i="15" a="1"/>
  <c r="E4" i="15" s="1"/>
  <c r="D4" i="15" a="1"/>
  <c r="D4" i="15" s="1"/>
  <c r="D3" i="15" a="1"/>
  <c r="D3" i="15" s="1"/>
  <c r="E2" i="15" a="1"/>
  <c r="E2" i="15" s="1"/>
  <c r="D2" i="15"/>
  <c r="B4" i="13" l="1"/>
  <c r="B5" i="13"/>
  <c r="D5" i="13"/>
  <c r="B6" i="13"/>
  <c r="D6" i="13"/>
  <c r="B7" i="13"/>
  <c r="D7" i="13"/>
  <c r="B8" i="13"/>
  <c r="D8" i="13"/>
</calcChain>
</file>

<file path=xl/sharedStrings.xml><?xml version="1.0" encoding="utf-8"?>
<sst xmlns="http://schemas.openxmlformats.org/spreadsheetml/2006/main" count="158" uniqueCount="106">
  <si>
    <t>上海A广州B</t>
  </si>
  <si>
    <t>截取字符串中的广州</t>
    <phoneticPr fontId="1" type="noConversion"/>
  </si>
  <si>
    <t>Data Analysis</t>
  </si>
  <si>
    <t>将字符串转换为大写字母</t>
    <phoneticPr fontId="1" type="noConversion"/>
  </si>
  <si>
    <t>将字符串转换为小写字母</t>
    <phoneticPr fontId="1" type="noConversion"/>
  </si>
  <si>
    <t>我Love数据Analysis</t>
  </si>
  <si>
    <t>字符串"数据"的位置</t>
    <phoneticPr fontId="1" type="noConversion"/>
  </si>
  <si>
    <t>字符小写"l"的位置</t>
    <phoneticPr fontId="1" type="noConversion"/>
  </si>
  <si>
    <t>字符大写"L"的位置</t>
    <phoneticPr fontId="1" type="noConversion"/>
  </si>
  <si>
    <t>字符串"*数据*"的位置</t>
    <phoneticPr fontId="1" type="noConversion"/>
  </si>
  <si>
    <t>#我爱数据#数据爱我#</t>
    <phoneticPr fontId="1" type="noConversion"/>
  </si>
  <si>
    <t>替换"我爱数据"为"Data"</t>
    <phoneticPr fontId="1" type="noConversion"/>
  </si>
  <si>
    <t>替换手机中间5位数字为"*****"</t>
    <phoneticPr fontId="1" type="noConversion"/>
  </si>
  <si>
    <t>我</t>
    <phoneticPr fontId="1" type="noConversion"/>
  </si>
  <si>
    <t>爱</t>
    <phoneticPr fontId="1" type="noConversion"/>
  </si>
  <si>
    <t>数据分析</t>
    <phoneticPr fontId="1" type="noConversion"/>
  </si>
  <si>
    <t>合并成1个字符串</t>
    <phoneticPr fontId="1" type="noConversion"/>
  </si>
  <si>
    <t xml:space="preserve">  Data  Analysis  </t>
    <phoneticPr fontId="1" type="noConversion"/>
  </si>
  <si>
    <t>原始字符个数</t>
    <phoneticPr fontId="1" type="noConversion"/>
  </si>
  <si>
    <t>使用TRIM之后字符个数</t>
    <phoneticPr fontId="1" type="noConversion"/>
  </si>
  <si>
    <t>对字符串使用TRIM函数</t>
    <phoneticPr fontId="1" type="noConversion"/>
  </si>
  <si>
    <t>a1.csv</t>
  </si>
  <si>
    <t>a2.txt</t>
    <phoneticPr fontId="1" type="noConversion"/>
  </si>
  <si>
    <t>a3.xlsx</t>
    <phoneticPr fontId="1" type="noConversion"/>
  </si>
  <si>
    <t>统计.zip</t>
    <phoneticPr fontId="1" type="noConversion"/>
  </si>
  <si>
    <t>数据分析.pptx</t>
    <phoneticPr fontId="1" type="noConversion"/>
  </si>
  <si>
    <t>大数据.jpg</t>
    <phoneticPr fontId="1" type="noConversion"/>
  </si>
  <si>
    <t>文件名称</t>
    <phoneticPr fontId="1" type="noConversion"/>
  </si>
  <si>
    <t>截取"."号左侧</t>
    <phoneticPr fontId="1" type="noConversion"/>
  </si>
  <si>
    <t>上海</t>
    <phoneticPr fontId="2" type="noConversion"/>
  </si>
  <si>
    <t>北京</t>
    <phoneticPr fontId="2" type="noConversion"/>
  </si>
  <si>
    <t>广州</t>
    <phoneticPr fontId="2" type="noConversion"/>
  </si>
  <si>
    <t>深圳</t>
    <phoneticPr fontId="2" type="noConversion"/>
  </si>
  <si>
    <t>城市</t>
    <phoneticPr fontId="2" type="noConversion"/>
  </si>
  <si>
    <t>城市代码</t>
    <phoneticPr fontId="2" type="noConversion"/>
  </si>
  <si>
    <t>上海</t>
    <phoneticPr fontId="2" type="noConversion"/>
  </si>
  <si>
    <t>北京</t>
  </si>
  <si>
    <t>广州</t>
  </si>
  <si>
    <t>深圳</t>
  </si>
  <si>
    <t>sam</t>
    <phoneticPr fontId="1" type="noConversion"/>
  </si>
  <si>
    <t>APPLE</t>
    <phoneticPr fontId="1" type="noConversion"/>
  </si>
  <si>
    <t>JaCK</t>
    <phoneticPr fontId="1" type="noConversion"/>
  </si>
  <si>
    <t>aLILYa</t>
    <phoneticPr fontId="1" type="noConversion"/>
  </si>
  <si>
    <t>xksd</t>
    <phoneticPr fontId="1" type="noConversion"/>
  </si>
  <si>
    <t>字符串数据</t>
    <phoneticPr fontId="1" type="noConversion"/>
  </si>
  <si>
    <t>处理需求</t>
    <phoneticPr fontId="1" type="noConversion"/>
  </si>
  <si>
    <t>截取"."号右侧</t>
    <phoneticPr fontId="1" type="noConversion"/>
  </si>
  <si>
    <t>中文字符个数</t>
    <phoneticPr fontId="1" type="noConversion"/>
  </si>
  <si>
    <t>英文字符个数</t>
    <phoneticPr fontId="1" type="noConversion"/>
  </si>
  <si>
    <t>截取字符串前3个字符</t>
    <phoneticPr fontId="1" type="noConversion"/>
  </si>
  <si>
    <t>截取字符串最后3个字符</t>
    <phoneticPr fontId="1" type="noConversion"/>
  </si>
  <si>
    <t>数据</t>
    <phoneticPr fontId="1" type="noConversion"/>
  </si>
  <si>
    <t>说明</t>
    <phoneticPr fontId="1" type="noConversion"/>
  </si>
  <si>
    <t>公式</t>
    <phoneticPr fontId="1" type="noConversion"/>
  </si>
  <si>
    <t>结果</t>
    <phoneticPr fontId="1" type="noConversion"/>
  </si>
  <si>
    <t>=LENB(A2)-LEN(A2)</t>
    <phoneticPr fontId="1" type="noConversion"/>
  </si>
  <si>
    <t>=2*LEN(A2)-LENB(A2)</t>
    <phoneticPr fontId="1" type="noConversion"/>
  </si>
  <si>
    <t>=LEFT(A2,3)</t>
    <phoneticPr fontId="1" type="noConversion"/>
  </si>
  <si>
    <t>=RIGHT(A2,3)</t>
    <phoneticPr fontId="1" type="noConversion"/>
  </si>
  <si>
    <t>=MID(A2,4,2)</t>
    <phoneticPr fontId="1" type="noConversion"/>
  </si>
  <si>
    <t>=UPPER(A2)</t>
    <phoneticPr fontId="1" type="noConversion"/>
  </si>
  <si>
    <t>=LOWER(A2)</t>
    <phoneticPr fontId="1" type="noConversion"/>
  </si>
  <si>
    <t>=FIND("数据",A2,1)</t>
    <phoneticPr fontId="1" type="noConversion"/>
  </si>
  <si>
    <t>=FIND("L",A2,1)</t>
    <phoneticPr fontId="1" type="noConversion"/>
  </si>
  <si>
    <t>=FIND("l",A2,1)</t>
    <phoneticPr fontId="1" type="noConversion"/>
  </si>
  <si>
    <t>=SEARCH("数据",A2,1)</t>
  </si>
  <si>
    <t>=SEARCH("L",A2,1)</t>
  </si>
  <si>
    <t>=SEARCH("l",A2,1)</t>
  </si>
  <si>
    <t>=SEARCH("*数据*",A2,1)</t>
  </si>
  <si>
    <t>=CONCATENATE(A2,A3,A4)</t>
    <phoneticPr fontId="1" type="noConversion"/>
  </si>
  <si>
    <t>=A2&amp;A3&amp;A4</t>
    <phoneticPr fontId="1" type="noConversion"/>
  </si>
  <si>
    <t>Data</t>
    <phoneticPr fontId="1" type="noConversion"/>
  </si>
  <si>
    <t>DATA</t>
    <phoneticPr fontId="1" type="noConversion"/>
  </si>
  <si>
    <t>Data</t>
    <phoneticPr fontId="1" type="noConversion"/>
  </si>
  <si>
    <t>比较A2与A3是否相同</t>
    <phoneticPr fontId="1" type="noConversion"/>
  </si>
  <si>
    <t>比较A2与A4是否相同</t>
    <phoneticPr fontId="1" type="noConversion"/>
  </si>
  <si>
    <t>=EXACT(A2,A4)</t>
  </si>
  <si>
    <t>=EXACT(A2,A3)</t>
    <phoneticPr fontId="1" type="noConversion"/>
  </si>
  <si>
    <t>TRIM(A2)</t>
    <phoneticPr fontId="1" type="noConversion"/>
  </si>
  <si>
    <t>LEN(A2)</t>
    <phoneticPr fontId="1" type="noConversion"/>
  </si>
  <si>
    <t>LEN(E2)</t>
    <phoneticPr fontId="1" type="noConversion"/>
  </si>
  <si>
    <t>方法一</t>
    <phoneticPr fontId="2" type="noConversion"/>
  </si>
  <si>
    <t>方法二</t>
    <phoneticPr fontId="2" type="noConversion"/>
  </si>
  <si>
    <t>方法三</t>
    <phoneticPr fontId="2" type="noConversion"/>
  </si>
  <si>
    <t>方法一</t>
    <phoneticPr fontId="1" type="noConversion"/>
  </si>
  <si>
    <t>方法二</t>
    <phoneticPr fontId="1" type="noConversion"/>
  </si>
  <si>
    <t>方法一</t>
    <phoneticPr fontId="1" type="noConversion"/>
  </si>
  <si>
    <t>方法二</t>
    <phoneticPr fontId="1" type="noConversion"/>
  </si>
  <si>
    <t>S上海4</t>
  </si>
  <si>
    <t>S北京9</t>
  </si>
  <si>
    <t>S广州21</t>
  </si>
  <si>
    <t>S深圳3</t>
  </si>
  <si>
    <t>处理结果</t>
    <phoneticPr fontId="2" type="noConversion"/>
  </si>
  <si>
    <t>替换第1个"#"为"@"</t>
    <phoneticPr fontId="1" type="noConversion"/>
  </si>
  <si>
    <t>替换第2个"#"为"@"</t>
    <phoneticPr fontId="1" type="noConversion"/>
  </si>
  <si>
    <t>替换所有的"#"为"@"</t>
    <phoneticPr fontId="1" type="noConversion"/>
  </si>
  <si>
    <t>替换前2个"#"为"@"</t>
    <phoneticPr fontId="1" type="noConversion"/>
  </si>
  <si>
    <t>数据2</t>
    <phoneticPr fontId="1" type="noConversion"/>
  </si>
  <si>
    <t>截取左侧的数值</t>
    <phoneticPr fontId="1" type="noConversion"/>
  </si>
  <si>
    <t>150元你给我</t>
    <phoneticPr fontId="1" type="noConversion"/>
  </si>
  <si>
    <t>12路快来了</t>
    <phoneticPr fontId="1" type="noConversion"/>
  </si>
  <si>
    <t>1分钱怎么分</t>
    <phoneticPr fontId="1" type="noConversion"/>
  </si>
  <si>
    <t>计算包含字母a的字符串个数(不区分大小写)</t>
    <phoneticPr fontId="1" type="noConversion"/>
  </si>
  <si>
    <t>计算包含字母A的字符串个数(区分大小写)</t>
    <phoneticPr fontId="1" type="noConversion"/>
  </si>
  <si>
    <t>首字母是a的字符串个数(不区分大小写)</t>
    <phoneticPr fontId="1" type="noConversion"/>
  </si>
  <si>
    <t>首字母是A的字符串个数(区分大小写)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</si>
</sst>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363636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theme="1" tint="4.9989318521683403E-2"/>
      <name val="宋体"/>
      <family val="3"/>
      <charset val="134"/>
    </font>
    <font>
      <sz val="10"/>
      <color theme="1" tint="4.9989318521683403E-2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5" fillId="0" borderId="1" xfId="0" quotePrefix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8"/>
  <sheetViews>
    <sheetView showGridLines="0" workbookViewId="0">
      <selection activeCell="D21" sqref="D21"/>
    </sheetView>
  </sheetViews>
  <sheetFormatPr defaultRowHeight="15" customHeight="1" x14ac:dyDescent="0.2"/>
  <cols>
    <col min="1" max="1" width="9.75" style="6" bestFit="1" customWidth="1"/>
    <col min="2" max="2" width="8.625" style="6" customWidth="1"/>
    <col min="3" max="3" width="18.875" style="9" customWidth="1"/>
    <col min="4" max="4" width="11.375" style="9" bestFit="1" customWidth="1"/>
    <col min="5" max="5" width="5" style="9" bestFit="1" customWidth="1"/>
    <col min="6" max="16384" width="9" style="6"/>
  </cols>
  <sheetData>
    <row r="1" spans="1:6" ht="15" customHeight="1" x14ac:dyDescent="0.2">
      <c r="A1" s="5" t="s">
        <v>51</v>
      </c>
      <c r="C1" s="5" t="s">
        <v>53</v>
      </c>
      <c r="D1" s="5" t="s">
        <v>52</v>
      </c>
      <c r="E1" s="5" t="s">
        <v>54</v>
      </c>
    </row>
    <row r="2" spans="1:6" ht="15" customHeight="1" x14ac:dyDescent="0.2">
      <c r="A2" s="7" t="s">
        <v>0</v>
      </c>
      <c r="C2" s="21" t="s">
        <v>55</v>
      </c>
      <c r="D2" s="15" t="s">
        <v>47</v>
      </c>
      <c r="E2" s="7">
        <f>LENB(A2)-LEN(A2)</f>
        <v>4</v>
      </c>
      <c r="F2" s="18"/>
    </row>
    <row r="3" spans="1:6" ht="15" customHeight="1" x14ac:dyDescent="0.2">
      <c r="A3" s="18"/>
      <c r="C3" s="21" t="s">
        <v>56</v>
      </c>
      <c r="D3" s="15" t="s">
        <v>48</v>
      </c>
      <c r="E3" s="7">
        <f>2*LEN(A2)-LENB(A2)</f>
        <v>2</v>
      </c>
      <c r="F3" s="18"/>
    </row>
    <row r="4" spans="1:6" ht="15" customHeight="1" x14ac:dyDescent="0.2">
      <c r="A4" s="18"/>
      <c r="C4" s="19"/>
      <c r="D4" s="19"/>
      <c r="E4" s="19"/>
      <c r="F4" s="18"/>
    </row>
    <row r="5" spans="1:6" ht="15" customHeight="1" x14ac:dyDescent="0.2">
      <c r="A5" s="18"/>
      <c r="C5" s="19"/>
      <c r="D5" s="19"/>
      <c r="E5" s="19"/>
      <c r="F5" s="18"/>
    </row>
    <row r="6" spans="1:6" ht="15" customHeight="1" x14ac:dyDescent="0.2">
      <c r="A6" s="18"/>
      <c r="C6" s="19"/>
      <c r="D6" s="19"/>
      <c r="E6" s="19"/>
      <c r="F6" s="18"/>
    </row>
    <row r="7" spans="1:6" ht="15" customHeight="1" x14ac:dyDescent="0.2">
      <c r="A7" s="18"/>
      <c r="C7" s="19"/>
      <c r="D7" s="19"/>
      <c r="E7" s="19"/>
      <c r="F7" s="18"/>
    </row>
    <row r="8" spans="1:6" ht="15" customHeight="1" x14ac:dyDescent="0.2">
      <c r="A8" s="18"/>
      <c r="C8" s="19"/>
      <c r="D8" s="19"/>
      <c r="E8" s="19"/>
      <c r="F8" s="1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8"/>
  <sheetViews>
    <sheetView showGridLines="0" workbookViewId="0">
      <selection activeCell="D21" sqref="D21"/>
    </sheetView>
  </sheetViews>
  <sheetFormatPr defaultRowHeight="15" customHeight="1" x14ac:dyDescent="0.2"/>
  <cols>
    <col min="1" max="1" width="9.75" style="6" bestFit="1" customWidth="1"/>
    <col min="2" max="2" width="9" style="6"/>
    <col min="3" max="3" width="11.25" style="6" bestFit="1" customWidth="1"/>
    <col min="4" max="4" width="17.75" style="9" bestFit="1" customWidth="1"/>
    <col min="5" max="5" width="5.625" style="6" bestFit="1" customWidth="1"/>
    <col min="6" max="7" width="9" style="6"/>
    <col min="8" max="8" width="12.25" style="6" bestFit="1" customWidth="1"/>
    <col min="9" max="9" width="15.125" style="6" bestFit="1" customWidth="1"/>
    <col min="10" max="16384" width="9" style="6"/>
  </cols>
  <sheetData>
    <row r="1" spans="1:9" ht="15" customHeight="1" x14ac:dyDescent="0.2">
      <c r="A1" s="5" t="s">
        <v>51</v>
      </c>
      <c r="C1" s="5" t="s">
        <v>53</v>
      </c>
      <c r="D1" s="5" t="s">
        <v>52</v>
      </c>
      <c r="E1" s="5" t="s">
        <v>54</v>
      </c>
      <c r="H1" s="26" t="s">
        <v>97</v>
      </c>
      <c r="I1" s="26" t="s">
        <v>98</v>
      </c>
    </row>
    <row r="2" spans="1:9" ht="15" customHeight="1" x14ac:dyDescent="0.2">
      <c r="A2" s="7" t="s">
        <v>0</v>
      </c>
      <c r="B2" s="18"/>
      <c r="C2" s="23" t="s">
        <v>57</v>
      </c>
      <c r="D2" s="15" t="s">
        <v>49</v>
      </c>
      <c r="E2" s="7" t="str">
        <f>LEFT(A2,3)</f>
        <v>上海A</v>
      </c>
      <c r="F2" s="18"/>
      <c r="H2" s="27" t="s">
        <v>99</v>
      </c>
      <c r="I2" s="27" t="str">
        <f>LEFT(H2,2*LEN(H2)-LENB(H2))</f>
        <v>150</v>
      </c>
    </row>
    <row r="3" spans="1:9" ht="15" customHeight="1" x14ac:dyDescent="0.2">
      <c r="A3" s="18"/>
      <c r="B3" s="18"/>
      <c r="C3" s="18"/>
      <c r="D3" s="24"/>
      <c r="E3" s="18"/>
      <c r="F3" s="18"/>
      <c r="H3" s="27" t="s">
        <v>100</v>
      </c>
      <c r="I3" s="27" t="str">
        <f t="shared" ref="I3:I4" si="0">LEFT(H3,2*LEN(H3)-LENB(H3))</f>
        <v>12</v>
      </c>
    </row>
    <row r="4" spans="1:9" ht="15" customHeight="1" x14ac:dyDescent="0.2">
      <c r="A4" s="18"/>
      <c r="B4" s="18"/>
      <c r="C4" s="18"/>
      <c r="D4" s="19"/>
      <c r="E4" s="18"/>
      <c r="F4" s="18"/>
      <c r="H4" s="27" t="s">
        <v>101</v>
      </c>
      <c r="I4" s="27" t="str">
        <f t="shared" si="0"/>
        <v>1</v>
      </c>
    </row>
    <row r="5" spans="1:9" ht="15" customHeight="1" x14ac:dyDescent="0.2">
      <c r="A5" s="18"/>
      <c r="B5" s="18"/>
      <c r="C5" s="18"/>
      <c r="D5" s="19"/>
      <c r="E5" s="18"/>
      <c r="F5" s="18"/>
    </row>
    <row r="6" spans="1:9" ht="15" customHeight="1" x14ac:dyDescent="0.2">
      <c r="A6" s="18"/>
      <c r="B6" s="18"/>
      <c r="C6" s="18"/>
      <c r="D6" s="19"/>
      <c r="E6" s="18"/>
      <c r="F6" s="18"/>
    </row>
    <row r="7" spans="1:9" ht="15" customHeight="1" x14ac:dyDescent="0.2">
      <c r="A7" s="18"/>
      <c r="B7" s="18"/>
      <c r="C7" s="18"/>
      <c r="D7" s="19"/>
      <c r="E7" s="18"/>
      <c r="F7" s="18"/>
    </row>
    <row r="8" spans="1:9" ht="15" customHeight="1" x14ac:dyDescent="0.2">
      <c r="A8" s="18"/>
      <c r="B8" s="18"/>
      <c r="C8" s="18"/>
      <c r="D8" s="19"/>
      <c r="E8" s="18"/>
      <c r="F8" s="1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8"/>
  <sheetViews>
    <sheetView showGridLines="0" workbookViewId="0">
      <selection activeCell="D21" sqref="D21"/>
    </sheetView>
  </sheetViews>
  <sheetFormatPr defaultRowHeight="15" customHeight="1" x14ac:dyDescent="0.2"/>
  <cols>
    <col min="1" max="1" width="9.75" style="6" bestFit="1" customWidth="1"/>
    <col min="2" max="2" width="9" style="6"/>
    <col min="3" max="3" width="12.25" style="9" bestFit="1" customWidth="1"/>
    <col min="4" max="4" width="19.5" style="9" bestFit="1" customWidth="1"/>
    <col min="5" max="5" width="5.625" style="6" bestFit="1" customWidth="1"/>
    <col min="6" max="16384" width="9" style="6"/>
  </cols>
  <sheetData>
    <row r="1" spans="1:6" ht="15" customHeight="1" x14ac:dyDescent="0.2">
      <c r="A1" s="5" t="s">
        <v>51</v>
      </c>
      <c r="C1" s="5" t="s">
        <v>53</v>
      </c>
      <c r="D1" s="5" t="s">
        <v>52</v>
      </c>
      <c r="E1" s="5" t="s">
        <v>54</v>
      </c>
    </row>
    <row r="2" spans="1:6" ht="15" customHeight="1" x14ac:dyDescent="0.2">
      <c r="A2" s="7" t="s">
        <v>0</v>
      </c>
      <c r="B2" s="18"/>
      <c r="C2" s="23" t="s">
        <v>58</v>
      </c>
      <c r="D2" s="15" t="s">
        <v>50</v>
      </c>
      <c r="E2" s="7" t="str">
        <f>RIGHT(A2,3)</f>
        <v>广州B</v>
      </c>
      <c r="F2" s="18"/>
    </row>
    <row r="3" spans="1:6" ht="15" customHeight="1" x14ac:dyDescent="0.2">
      <c r="A3" s="18"/>
      <c r="B3" s="18"/>
      <c r="C3" s="19"/>
      <c r="D3" s="24"/>
      <c r="E3" s="18"/>
      <c r="F3" s="18"/>
    </row>
    <row r="4" spans="1:6" ht="15" customHeight="1" x14ac:dyDescent="0.2">
      <c r="A4" s="18"/>
      <c r="B4" s="18"/>
      <c r="C4" s="19"/>
      <c r="D4" s="19"/>
      <c r="E4" s="18"/>
      <c r="F4" s="18"/>
    </row>
    <row r="5" spans="1:6" ht="15" customHeight="1" x14ac:dyDescent="0.2">
      <c r="A5" s="18"/>
      <c r="B5" s="18"/>
      <c r="C5" s="19"/>
      <c r="D5" s="19"/>
      <c r="E5" s="18"/>
      <c r="F5" s="18"/>
    </row>
    <row r="6" spans="1:6" ht="15" customHeight="1" x14ac:dyDescent="0.2">
      <c r="A6" s="18"/>
      <c r="B6" s="18"/>
      <c r="C6" s="19"/>
      <c r="D6" s="19"/>
      <c r="E6" s="18"/>
      <c r="F6" s="18"/>
    </row>
    <row r="7" spans="1:6" ht="15" customHeight="1" x14ac:dyDescent="0.2">
      <c r="A7" s="18"/>
      <c r="B7" s="18"/>
      <c r="C7" s="19"/>
      <c r="D7" s="19"/>
      <c r="E7" s="18"/>
      <c r="F7" s="18"/>
    </row>
    <row r="8" spans="1:6" ht="15" customHeight="1" x14ac:dyDescent="0.2">
      <c r="A8" s="18"/>
      <c r="B8" s="18"/>
      <c r="C8" s="19"/>
      <c r="D8" s="19"/>
      <c r="E8" s="18"/>
      <c r="F8" s="1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8"/>
  <sheetViews>
    <sheetView showGridLines="0" workbookViewId="0">
      <selection activeCell="D21" sqref="D21"/>
    </sheetView>
  </sheetViews>
  <sheetFormatPr defaultRowHeight="15" customHeight="1" x14ac:dyDescent="0.2"/>
  <cols>
    <col min="1" max="1" width="9.75" style="6" bestFit="1" customWidth="1"/>
    <col min="2" max="2" width="9" style="6"/>
    <col min="3" max="3" width="12.25" style="6" bestFit="1" customWidth="1"/>
    <col min="4" max="4" width="16.75" style="9" bestFit="1" customWidth="1"/>
    <col min="5" max="5" width="5" style="6" bestFit="1" customWidth="1"/>
    <col min="6" max="16384" width="9" style="6"/>
  </cols>
  <sheetData>
    <row r="1" spans="1:6" ht="15" customHeight="1" x14ac:dyDescent="0.2">
      <c r="A1" s="5" t="s">
        <v>51</v>
      </c>
      <c r="C1" s="5" t="s">
        <v>53</v>
      </c>
      <c r="D1" s="5" t="s">
        <v>52</v>
      </c>
      <c r="E1" s="5" t="s">
        <v>54</v>
      </c>
    </row>
    <row r="2" spans="1:6" ht="15" customHeight="1" x14ac:dyDescent="0.2">
      <c r="A2" s="7" t="s">
        <v>0</v>
      </c>
      <c r="B2" s="18"/>
      <c r="C2" s="23" t="s">
        <v>59</v>
      </c>
      <c r="D2" s="15" t="s">
        <v>1</v>
      </c>
      <c r="E2" s="7" t="str">
        <f>MID(A2,4,2)</f>
        <v>广州</v>
      </c>
      <c r="F2" s="18"/>
    </row>
    <row r="3" spans="1:6" ht="15" customHeight="1" x14ac:dyDescent="0.2">
      <c r="A3" s="18"/>
      <c r="B3" s="18"/>
      <c r="C3" s="19"/>
      <c r="D3" s="24"/>
      <c r="E3" s="19"/>
      <c r="F3" s="18"/>
    </row>
    <row r="4" spans="1:6" ht="15" customHeight="1" x14ac:dyDescent="0.2">
      <c r="A4" s="18"/>
      <c r="B4" s="18"/>
      <c r="C4" s="19"/>
      <c r="D4" s="19"/>
      <c r="E4" s="19"/>
      <c r="F4" s="18"/>
    </row>
    <row r="5" spans="1:6" ht="15" customHeight="1" x14ac:dyDescent="0.2">
      <c r="A5" s="18"/>
      <c r="B5" s="18"/>
      <c r="C5" s="19"/>
      <c r="D5" s="19"/>
      <c r="E5" s="19"/>
      <c r="F5" s="18"/>
    </row>
    <row r="6" spans="1:6" ht="15" customHeight="1" x14ac:dyDescent="0.2">
      <c r="A6" s="18"/>
      <c r="B6" s="18"/>
      <c r="C6" s="19"/>
      <c r="D6" s="19"/>
      <c r="E6" s="19"/>
      <c r="F6" s="18"/>
    </row>
    <row r="7" spans="1:6" ht="15" customHeight="1" x14ac:dyDescent="0.2">
      <c r="A7" s="18"/>
      <c r="B7" s="18"/>
      <c r="C7" s="19"/>
      <c r="D7" s="19"/>
      <c r="E7" s="19"/>
      <c r="F7" s="18"/>
    </row>
    <row r="8" spans="1:6" ht="15" customHeight="1" x14ac:dyDescent="0.2">
      <c r="A8" s="18"/>
      <c r="B8" s="18"/>
      <c r="C8" s="18"/>
      <c r="D8" s="19"/>
      <c r="E8" s="18"/>
      <c r="F8" s="1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8"/>
  <sheetViews>
    <sheetView showGridLines="0" workbookViewId="0">
      <selection activeCell="D21" sqref="D21"/>
    </sheetView>
  </sheetViews>
  <sheetFormatPr defaultRowHeight="15" customHeight="1" x14ac:dyDescent="0.2"/>
  <cols>
    <col min="1" max="1" width="13.125" style="6" bestFit="1" customWidth="1"/>
    <col min="2" max="2" width="8.625" style="6" customWidth="1"/>
    <col min="3" max="3" width="10.25" style="9" bestFit="1" customWidth="1"/>
    <col min="4" max="4" width="20.375" style="9" bestFit="1" customWidth="1"/>
    <col min="5" max="5" width="13.125" style="9" bestFit="1" customWidth="1"/>
    <col min="6" max="16384" width="9" style="6"/>
  </cols>
  <sheetData>
    <row r="1" spans="1:6" ht="15" customHeight="1" x14ac:dyDescent="0.2">
      <c r="A1" s="5" t="s">
        <v>51</v>
      </c>
      <c r="C1" s="5" t="s">
        <v>53</v>
      </c>
      <c r="D1" s="5" t="s">
        <v>52</v>
      </c>
      <c r="E1" s="5" t="s">
        <v>54</v>
      </c>
    </row>
    <row r="2" spans="1:6" ht="15" customHeight="1" x14ac:dyDescent="0.2">
      <c r="A2" s="7" t="s">
        <v>2</v>
      </c>
      <c r="B2" s="18"/>
      <c r="C2" s="23" t="s">
        <v>60</v>
      </c>
      <c r="D2" s="15" t="s">
        <v>3</v>
      </c>
      <c r="E2" s="3" t="str">
        <f>UPPER(A2)</f>
        <v>DATA ANALYSIS</v>
      </c>
      <c r="F2" s="4"/>
    </row>
    <row r="3" spans="1:6" ht="15" customHeight="1" x14ac:dyDescent="0.2">
      <c r="A3" s="18"/>
      <c r="B3" s="18"/>
      <c r="C3" s="23" t="s">
        <v>61</v>
      </c>
      <c r="D3" s="15" t="s">
        <v>4</v>
      </c>
      <c r="E3" s="7" t="str">
        <f>LOWER(A2)</f>
        <v>data analysis</v>
      </c>
      <c r="F3" s="18"/>
    </row>
    <row r="4" spans="1:6" ht="15" customHeight="1" x14ac:dyDescent="0.2">
      <c r="A4" s="18"/>
      <c r="B4" s="18"/>
      <c r="C4" s="19"/>
      <c r="D4" s="19"/>
      <c r="E4" s="19"/>
      <c r="F4" s="18"/>
    </row>
    <row r="5" spans="1:6" ht="15" customHeight="1" x14ac:dyDescent="0.2">
      <c r="A5" s="18"/>
      <c r="B5" s="18"/>
      <c r="C5" s="19"/>
      <c r="D5" s="19"/>
      <c r="E5" s="19"/>
      <c r="F5" s="18"/>
    </row>
    <row r="6" spans="1:6" ht="15" customHeight="1" x14ac:dyDescent="0.2">
      <c r="A6" s="18"/>
      <c r="B6" s="18"/>
      <c r="C6" s="19"/>
      <c r="D6" s="19"/>
      <c r="E6" s="19"/>
      <c r="F6" s="18"/>
    </row>
    <row r="7" spans="1:6" ht="15" customHeight="1" x14ac:dyDescent="0.2">
      <c r="A7" s="18"/>
      <c r="B7" s="18"/>
      <c r="C7" s="19"/>
      <c r="D7" s="19"/>
      <c r="E7" s="19"/>
      <c r="F7" s="18"/>
    </row>
    <row r="8" spans="1:6" ht="15" customHeight="1" x14ac:dyDescent="0.2">
      <c r="A8" s="18"/>
      <c r="B8" s="18"/>
      <c r="C8" s="19"/>
      <c r="D8" s="19"/>
      <c r="E8" s="19"/>
      <c r="F8" s="18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8"/>
  <sheetViews>
    <sheetView showGridLines="0" workbookViewId="0">
      <selection activeCell="E4" sqref="A1:E4"/>
    </sheetView>
  </sheetViews>
  <sheetFormatPr defaultRowHeight="15" customHeight="1" x14ac:dyDescent="0.2"/>
  <cols>
    <col min="1" max="1" width="17.625" style="6" bestFit="1" customWidth="1"/>
    <col min="2" max="2" width="9" style="6"/>
    <col min="3" max="3" width="17.75" style="9" bestFit="1" customWidth="1"/>
    <col min="4" max="4" width="16.875" style="10" bestFit="1" customWidth="1"/>
    <col min="5" max="5" width="5" style="6" bestFit="1" customWidth="1"/>
    <col min="6" max="16384" width="9" style="6"/>
  </cols>
  <sheetData>
    <row r="1" spans="1:6" ht="15" customHeight="1" x14ac:dyDescent="0.2">
      <c r="A1" s="5" t="s">
        <v>51</v>
      </c>
      <c r="C1" s="5" t="s">
        <v>53</v>
      </c>
      <c r="D1" s="5" t="s">
        <v>52</v>
      </c>
      <c r="E1" s="5" t="s">
        <v>54</v>
      </c>
    </row>
    <row r="2" spans="1:6" ht="15" customHeight="1" x14ac:dyDescent="0.2">
      <c r="A2" s="7" t="s">
        <v>5</v>
      </c>
      <c r="B2" s="18"/>
      <c r="C2" s="21" t="s">
        <v>62</v>
      </c>
      <c r="D2" s="22" t="s">
        <v>6</v>
      </c>
      <c r="E2" s="7">
        <f>FIND("数据",A2,1)</f>
        <v>6</v>
      </c>
      <c r="F2" s="18"/>
    </row>
    <row r="3" spans="1:6" ht="15" customHeight="1" x14ac:dyDescent="0.2">
      <c r="A3" s="18"/>
      <c r="B3" s="18"/>
      <c r="C3" s="21" t="s">
        <v>63</v>
      </c>
      <c r="D3" s="22" t="s">
        <v>8</v>
      </c>
      <c r="E3" s="7">
        <f>FIND("L",A2,1)</f>
        <v>2</v>
      </c>
      <c r="F3" s="18"/>
    </row>
    <row r="4" spans="1:6" ht="15" customHeight="1" x14ac:dyDescent="0.2">
      <c r="A4" s="18"/>
      <c r="B4" s="18"/>
      <c r="C4" s="21" t="s">
        <v>64</v>
      </c>
      <c r="D4" s="8" t="s">
        <v>7</v>
      </c>
      <c r="E4" s="7">
        <f>FIND("l",A2,1)</f>
        <v>11</v>
      </c>
      <c r="F4" s="18"/>
    </row>
    <row r="5" spans="1:6" ht="15" customHeight="1" x14ac:dyDescent="0.2">
      <c r="A5" s="18"/>
      <c r="B5" s="18"/>
      <c r="C5" s="20"/>
      <c r="D5" s="20"/>
      <c r="E5" s="19"/>
      <c r="F5" s="18"/>
    </row>
    <row r="6" spans="1:6" ht="15" customHeight="1" x14ac:dyDescent="0.2">
      <c r="A6" s="18"/>
      <c r="B6" s="18"/>
      <c r="C6" s="20"/>
      <c r="D6" s="20"/>
      <c r="E6" s="19"/>
      <c r="F6" s="18"/>
    </row>
    <row r="7" spans="1:6" ht="15" customHeight="1" x14ac:dyDescent="0.2">
      <c r="A7" s="18"/>
      <c r="B7" s="18"/>
      <c r="C7" s="19"/>
      <c r="D7" s="20"/>
      <c r="E7" s="19"/>
      <c r="F7" s="18"/>
    </row>
    <row r="8" spans="1:6" ht="15" customHeight="1" x14ac:dyDescent="0.2">
      <c r="A8" s="18"/>
      <c r="B8" s="18"/>
      <c r="C8" s="19"/>
      <c r="D8" s="20"/>
      <c r="E8" s="18"/>
      <c r="F8" s="18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8"/>
  <sheetViews>
    <sheetView showGridLines="0" workbookViewId="0">
      <selection activeCell="E5" sqref="A1:E5"/>
    </sheetView>
  </sheetViews>
  <sheetFormatPr defaultRowHeight="15" customHeight="1" x14ac:dyDescent="0.2"/>
  <cols>
    <col min="1" max="1" width="17.625" style="6" bestFit="1" customWidth="1"/>
    <col min="2" max="2" width="9" style="6"/>
    <col min="3" max="3" width="21.625" style="6" bestFit="1" customWidth="1"/>
    <col min="4" max="4" width="18.875" style="10" bestFit="1" customWidth="1"/>
    <col min="5" max="5" width="5" style="6" bestFit="1" customWidth="1"/>
    <col min="6" max="16384" width="9" style="6"/>
  </cols>
  <sheetData>
    <row r="1" spans="1:5" ht="15" customHeight="1" x14ac:dyDescent="0.2">
      <c r="A1" s="5" t="s">
        <v>51</v>
      </c>
      <c r="C1" s="5" t="s">
        <v>53</v>
      </c>
      <c r="D1" s="5" t="s">
        <v>52</v>
      </c>
      <c r="E1" s="5" t="s">
        <v>54</v>
      </c>
    </row>
    <row r="2" spans="1:5" ht="15" customHeight="1" x14ac:dyDescent="0.2">
      <c r="A2" s="7" t="s">
        <v>5</v>
      </c>
      <c r="C2" s="13" t="s">
        <v>65</v>
      </c>
      <c r="D2" s="8" t="s">
        <v>6</v>
      </c>
      <c r="E2" s="7">
        <f>SEARCH("数据",A2,1)</f>
        <v>6</v>
      </c>
    </row>
    <row r="3" spans="1:5" ht="15" customHeight="1" x14ac:dyDescent="0.2">
      <c r="C3" s="13" t="s">
        <v>66</v>
      </c>
      <c r="D3" s="8" t="s">
        <v>8</v>
      </c>
      <c r="E3" s="7">
        <f>SEARCH("L",A2,1)</f>
        <v>2</v>
      </c>
    </row>
    <row r="4" spans="1:5" ht="15" customHeight="1" x14ac:dyDescent="0.2">
      <c r="C4" s="13" t="s">
        <v>67</v>
      </c>
      <c r="D4" s="8" t="s">
        <v>7</v>
      </c>
      <c r="E4" s="7">
        <f>SEARCH("l",A2,1)</f>
        <v>2</v>
      </c>
    </row>
    <row r="5" spans="1:5" ht="15" customHeight="1" x14ac:dyDescent="0.2">
      <c r="C5" s="13" t="s">
        <v>68</v>
      </c>
      <c r="D5" s="8" t="s">
        <v>9</v>
      </c>
      <c r="E5" s="7">
        <f>SEARCH("*数据*",A2,1)</f>
        <v>1</v>
      </c>
    </row>
    <row r="6" spans="1:5" ht="15" customHeight="1" x14ac:dyDescent="0.2">
      <c r="D6" s="20"/>
      <c r="E6" s="18"/>
    </row>
    <row r="7" spans="1:5" ht="15" customHeight="1" x14ac:dyDescent="0.2">
      <c r="D7" s="20"/>
      <c r="E7" s="18"/>
    </row>
    <row r="8" spans="1:5" ht="15" customHeight="1" x14ac:dyDescent="0.2">
      <c r="D8" s="20"/>
      <c r="E8" s="18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6"/>
  <sheetViews>
    <sheetView showGridLines="0" zoomScaleNormal="100" workbookViewId="0">
      <selection activeCell="D5" sqref="A1:D5"/>
    </sheetView>
  </sheetViews>
  <sheetFormatPr defaultRowHeight="15" customHeight="1" x14ac:dyDescent="0.2"/>
  <cols>
    <col min="1" max="1" width="17.875" style="6" bestFit="1" customWidth="1"/>
    <col min="2" max="2" width="9" style="6"/>
    <col min="3" max="3" width="19.625" style="10" customWidth="1"/>
    <col min="4" max="4" width="17.875" style="6" bestFit="1" customWidth="1"/>
    <col min="5" max="16384" width="9" style="6"/>
  </cols>
  <sheetData>
    <row r="1" spans="1:4" ht="15" customHeight="1" x14ac:dyDescent="0.2">
      <c r="A1" s="5" t="s">
        <v>51</v>
      </c>
      <c r="C1" s="5" t="s">
        <v>52</v>
      </c>
      <c r="D1" s="5" t="s">
        <v>54</v>
      </c>
    </row>
    <row r="2" spans="1:4" ht="15" customHeight="1" x14ac:dyDescent="0.2">
      <c r="A2" s="7" t="s">
        <v>10</v>
      </c>
      <c r="C2" s="8" t="s">
        <v>93</v>
      </c>
      <c r="D2" s="7" t="str">
        <f>SUBSTITUTE(A2,"#","@",1)</f>
        <v>@我爱数据#数据爱我#</v>
      </c>
    </row>
    <row r="3" spans="1:4" ht="15" customHeight="1" x14ac:dyDescent="0.2">
      <c r="C3" s="8" t="s">
        <v>94</v>
      </c>
      <c r="D3" s="7" t="str">
        <f>SUBSTITUTE(A2,"#","@",2)</f>
        <v>#我爱数据@数据爱我#</v>
      </c>
    </row>
    <row r="4" spans="1:4" ht="15" customHeight="1" x14ac:dyDescent="0.2">
      <c r="C4" s="8" t="s">
        <v>95</v>
      </c>
      <c r="D4" s="7" t="str">
        <f>SUBSTITUTE(A2,"#","@")</f>
        <v>@我爱数据@数据爱我@</v>
      </c>
    </row>
    <row r="5" spans="1:4" ht="15" customHeight="1" x14ac:dyDescent="0.2">
      <c r="C5" s="8" t="s">
        <v>96</v>
      </c>
      <c r="D5" s="7" t="str">
        <f>SUBSTITUTE(SUBSTITUTE(A2,"#","@",1),"#","@",1)</f>
        <v>@我爱数据@数据爱我#</v>
      </c>
    </row>
    <row r="6" spans="1:4" ht="15" customHeight="1" x14ac:dyDescent="0.2">
      <c r="D6" s="9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9"/>
  <sheetViews>
    <sheetView showGridLines="0" workbookViewId="0">
      <selection activeCell="D3" sqref="A1:D3"/>
    </sheetView>
  </sheetViews>
  <sheetFormatPr defaultRowHeight="15" customHeight="1" x14ac:dyDescent="0.2"/>
  <cols>
    <col min="1" max="1" width="17.875" style="9" bestFit="1" customWidth="1"/>
    <col min="2" max="2" width="7" style="6" customWidth="1"/>
    <col min="3" max="3" width="26.375" style="10" bestFit="1" customWidth="1"/>
    <col min="4" max="4" width="14.625" style="9" bestFit="1" customWidth="1"/>
    <col min="5" max="16384" width="9" style="6"/>
  </cols>
  <sheetData>
    <row r="1" spans="1:4" ht="15" customHeight="1" x14ac:dyDescent="0.2">
      <c r="A1" s="5" t="s">
        <v>51</v>
      </c>
      <c r="C1" s="5" t="s">
        <v>52</v>
      </c>
      <c r="D1" s="5" t="s">
        <v>54</v>
      </c>
    </row>
    <row r="2" spans="1:4" ht="15" customHeight="1" x14ac:dyDescent="0.2">
      <c r="A2" s="8" t="s">
        <v>10</v>
      </c>
      <c r="B2" s="18"/>
      <c r="C2" s="8" t="s">
        <v>11</v>
      </c>
      <c r="D2" s="8" t="str">
        <f>REPLACE(A2,2,4,"Data")</f>
        <v>#Data#数据爱我#</v>
      </c>
    </row>
    <row r="3" spans="1:4" ht="15" customHeight="1" x14ac:dyDescent="0.2">
      <c r="A3" s="8">
        <v>13013013000</v>
      </c>
      <c r="B3" s="18"/>
      <c r="C3" s="8" t="s">
        <v>12</v>
      </c>
      <c r="D3" s="8" t="str">
        <f>REPLACE(A3,4,5,"*****")</f>
        <v>130*****000</v>
      </c>
    </row>
    <row r="4" spans="1:4" ht="15" customHeight="1" x14ac:dyDescent="0.2">
      <c r="A4" s="19"/>
      <c r="B4" s="18"/>
      <c r="C4" s="20"/>
      <c r="D4" s="20"/>
    </row>
    <row r="5" spans="1:4" ht="15" customHeight="1" x14ac:dyDescent="0.2">
      <c r="A5" s="19"/>
      <c r="B5" s="18"/>
      <c r="C5" s="20"/>
      <c r="D5" s="20"/>
    </row>
    <row r="6" spans="1:4" ht="15" customHeight="1" x14ac:dyDescent="0.2">
      <c r="A6" s="19"/>
      <c r="B6" s="18"/>
      <c r="C6" s="20"/>
      <c r="D6" s="20"/>
    </row>
    <row r="7" spans="1:4" ht="15" customHeight="1" x14ac:dyDescent="0.2">
      <c r="A7" s="19"/>
      <c r="B7" s="18"/>
      <c r="C7" s="20"/>
      <c r="D7" s="20"/>
    </row>
    <row r="8" spans="1:4" ht="15" customHeight="1" x14ac:dyDescent="0.2">
      <c r="A8" s="19"/>
      <c r="B8" s="18"/>
      <c r="C8" s="20"/>
      <c r="D8" s="20"/>
    </row>
    <row r="9" spans="1:4" ht="15" customHeight="1" x14ac:dyDescent="0.2">
      <c r="A9" s="19"/>
      <c r="B9" s="18"/>
      <c r="C9" s="20"/>
      <c r="D9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15"/>
  <sheetViews>
    <sheetView showGridLines="0" workbookViewId="0">
      <selection activeCell="E5" sqref="A1:E5"/>
    </sheetView>
  </sheetViews>
  <sheetFormatPr defaultRowHeight="15" customHeight="1" x14ac:dyDescent="0.2"/>
  <cols>
    <col min="1" max="1" width="8" style="6" bestFit="1" customWidth="1"/>
    <col min="2" max="2" width="7.375" style="6" customWidth="1"/>
    <col min="3" max="3" width="21.875" style="6" bestFit="1" customWidth="1"/>
    <col min="4" max="4" width="14.125" style="6" bestFit="1" customWidth="1"/>
    <col min="5" max="5" width="11.375" style="6" bestFit="1" customWidth="1"/>
    <col min="6" max="16384" width="9" style="6"/>
  </cols>
  <sheetData>
    <row r="1" spans="1:8" ht="15" customHeight="1" x14ac:dyDescent="0.2">
      <c r="A1" s="5" t="s">
        <v>51</v>
      </c>
      <c r="C1" s="5" t="s">
        <v>53</v>
      </c>
      <c r="D1" s="5" t="s">
        <v>52</v>
      </c>
      <c r="E1" s="5" t="s">
        <v>54</v>
      </c>
    </row>
    <row r="2" spans="1:8" ht="15" customHeight="1" x14ac:dyDescent="0.2">
      <c r="A2" s="7" t="s">
        <v>13</v>
      </c>
      <c r="C2" s="14" t="s">
        <v>69</v>
      </c>
      <c r="D2" s="28" t="s">
        <v>16</v>
      </c>
      <c r="E2" s="15" t="str">
        <f>CONCATENATE(A2,A3,A4)</f>
        <v>我爱数据分析</v>
      </c>
    </row>
    <row r="3" spans="1:8" ht="15" customHeight="1" x14ac:dyDescent="0.2">
      <c r="A3" s="7" t="s">
        <v>14</v>
      </c>
      <c r="C3" s="14" t="s">
        <v>70</v>
      </c>
      <c r="D3" s="29"/>
      <c r="E3" s="15" t="str">
        <f>A2&amp;A3&amp;A4</f>
        <v>我爱数据分析</v>
      </c>
    </row>
    <row r="4" spans="1:8" ht="15" customHeight="1" x14ac:dyDescent="0.2">
      <c r="A4" s="7" t="s">
        <v>15</v>
      </c>
      <c r="D4" s="16"/>
      <c r="E4" s="16"/>
    </row>
    <row r="5" spans="1:8" ht="15" customHeight="1" x14ac:dyDescent="0.2">
      <c r="D5" s="16"/>
      <c r="E5" s="16"/>
    </row>
    <row r="15" spans="1:8" ht="15" customHeight="1" x14ac:dyDescent="0.2">
      <c r="H15" s="17"/>
    </row>
  </sheetData>
  <mergeCells count="1">
    <mergeCell ref="D2:D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6"/>
  <sheetViews>
    <sheetView showGridLines="0" workbookViewId="0">
      <selection activeCell="G10" sqref="A1:G10"/>
    </sheetView>
  </sheetViews>
  <sheetFormatPr defaultRowHeight="15" customHeight="1" x14ac:dyDescent="0.2"/>
  <cols>
    <col min="1" max="1" width="5" style="6" bestFit="1" customWidth="1"/>
    <col min="2" max="2" width="9" style="6"/>
    <col min="3" max="3" width="13.125" style="6" bestFit="1" customWidth="1"/>
    <col min="4" max="4" width="17.125" style="6" bestFit="1" customWidth="1"/>
    <col min="5" max="5" width="5.875" style="6" bestFit="1" customWidth="1"/>
    <col min="6" max="16384" width="9" style="6"/>
  </cols>
  <sheetData>
    <row r="1" spans="1:5" ht="15" customHeight="1" x14ac:dyDescent="0.2">
      <c r="A1" s="5" t="s">
        <v>51</v>
      </c>
      <c r="C1" s="5" t="s">
        <v>53</v>
      </c>
      <c r="D1" s="5" t="s">
        <v>52</v>
      </c>
      <c r="E1" s="5" t="s">
        <v>54</v>
      </c>
    </row>
    <row r="2" spans="1:5" ht="15" customHeight="1" x14ac:dyDescent="0.2">
      <c r="A2" s="7" t="s">
        <v>71</v>
      </c>
      <c r="B2" s="9"/>
      <c r="C2" s="13" t="s">
        <v>77</v>
      </c>
      <c r="D2" s="7" t="s">
        <v>74</v>
      </c>
      <c r="E2" s="12" t="b">
        <f>EXACT(A2,A3)</f>
        <v>0</v>
      </c>
    </row>
    <row r="3" spans="1:5" ht="15" customHeight="1" x14ac:dyDescent="0.2">
      <c r="A3" s="7" t="s">
        <v>72</v>
      </c>
      <c r="C3" s="13" t="s">
        <v>76</v>
      </c>
      <c r="D3" s="7" t="s">
        <v>75</v>
      </c>
      <c r="E3" s="12" t="b">
        <f>EXACT(A2,A4)</f>
        <v>1</v>
      </c>
    </row>
    <row r="4" spans="1:5" ht="15" customHeight="1" x14ac:dyDescent="0.2">
      <c r="A4" s="7" t="s">
        <v>73</v>
      </c>
      <c r="D4" s="9"/>
    </row>
    <row r="5" spans="1:5" ht="15" customHeight="1" x14ac:dyDescent="0.2">
      <c r="D5" s="9"/>
    </row>
    <row r="6" spans="1:5" ht="15" customHeight="1" x14ac:dyDescent="0.2">
      <c r="D6" s="9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4"/>
  <sheetViews>
    <sheetView showGridLines="0" workbookViewId="0">
      <selection activeCell="E4" sqref="A1:E4"/>
    </sheetView>
  </sheetViews>
  <sheetFormatPr defaultRowHeight="15" customHeight="1" x14ac:dyDescent="0.2"/>
  <cols>
    <col min="1" max="1" width="18" style="6" bestFit="1" customWidth="1"/>
    <col min="2" max="2" width="8.625" style="6" customWidth="1"/>
    <col min="3" max="3" width="8.5" style="6" bestFit="1" customWidth="1"/>
    <col min="4" max="4" width="23.125" style="10" customWidth="1"/>
    <col min="5" max="5" width="13.125" style="6" bestFit="1" customWidth="1"/>
    <col min="6" max="16384" width="9" style="6"/>
  </cols>
  <sheetData>
    <row r="1" spans="1:5" ht="15" customHeight="1" x14ac:dyDescent="0.2">
      <c r="A1" s="5" t="s">
        <v>51</v>
      </c>
      <c r="C1" s="25" t="s">
        <v>53</v>
      </c>
      <c r="D1" s="25" t="s">
        <v>52</v>
      </c>
      <c r="E1" s="25" t="s">
        <v>54</v>
      </c>
    </row>
    <row r="2" spans="1:5" ht="15" customHeight="1" x14ac:dyDescent="0.2">
      <c r="A2" s="8" t="s">
        <v>17</v>
      </c>
      <c r="C2" s="12" t="s">
        <v>78</v>
      </c>
      <c r="D2" s="8" t="s">
        <v>20</v>
      </c>
      <c r="E2" s="8" t="str">
        <f>TRIM(A2)</f>
        <v>Data Analysis</v>
      </c>
    </row>
    <row r="3" spans="1:5" ht="15" customHeight="1" x14ac:dyDescent="0.2">
      <c r="C3" s="12" t="s">
        <v>79</v>
      </c>
      <c r="D3" s="8" t="s">
        <v>18</v>
      </c>
      <c r="E3" s="8">
        <f>LEN(A2)</f>
        <v>18</v>
      </c>
    </row>
    <row r="4" spans="1:5" ht="15" customHeight="1" x14ac:dyDescent="0.2">
      <c r="C4" s="12" t="s">
        <v>80</v>
      </c>
      <c r="D4" s="8" t="s">
        <v>19</v>
      </c>
      <c r="E4" s="8">
        <f>LEN(E2)</f>
        <v>13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8"/>
  <sheetViews>
    <sheetView showGridLines="0" workbookViewId="0">
      <selection activeCell="F10" sqref="F10"/>
    </sheetView>
  </sheetViews>
  <sheetFormatPr defaultRowHeight="15" customHeight="1" x14ac:dyDescent="0.2"/>
  <cols>
    <col min="1" max="1" width="12.625" style="6" bestFit="1" customWidth="1"/>
    <col min="2" max="5" width="12.75" style="6" customWidth="1"/>
    <col min="6" max="6" width="13" style="6" customWidth="1"/>
    <col min="7" max="16384" width="9" style="6"/>
  </cols>
  <sheetData>
    <row r="1" spans="1:5" ht="15" customHeight="1" x14ac:dyDescent="0.2">
      <c r="A1" s="31" t="s">
        <v>27</v>
      </c>
      <c r="B1" s="30" t="s">
        <v>28</v>
      </c>
      <c r="C1" s="30"/>
      <c r="D1" s="30" t="s">
        <v>46</v>
      </c>
      <c r="E1" s="30"/>
    </row>
    <row r="2" spans="1:5" ht="15" customHeight="1" x14ac:dyDescent="0.2">
      <c r="A2" s="32"/>
      <c r="B2" s="5" t="s">
        <v>86</v>
      </c>
      <c r="C2" s="5" t="s">
        <v>87</v>
      </c>
      <c r="D2" s="5" t="s">
        <v>86</v>
      </c>
      <c r="E2" s="5" t="s">
        <v>87</v>
      </c>
    </row>
    <row r="3" spans="1:5" ht="15" customHeight="1" x14ac:dyDescent="0.2">
      <c r="A3" s="11" t="s">
        <v>21</v>
      </c>
      <c r="B3" s="11" t="str">
        <f>LEFT(A3,FIND(".",A3)-1)</f>
        <v>a1</v>
      </c>
      <c r="C3" s="11" t="str">
        <f>MID(A3,1,FIND(".",A3)-1)</f>
        <v>a1</v>
      </c>
      <c r="D3" s="11" t="str">
        <f>RIGHT(A3,LEN(A3)-FIND(".",A3))</f>
        <v>csv</v>
      </c>
      <c r="E3" s="11" t="str">
        <f>MID(A3,FIND(".",A3)+1,100)</f>
        <v>csv</v>
      </c>
    </row>
    <row r="4" spans="1:5" ht="15" customHeight="1" x14ac:dyDescent="0.2">
      <c r="A4" s="11" t="s">
        <v>22</v>
      </c>
      <c r="B4" s="11" t="str">
        <f t="shared" ref="B4:B8" si="0">LEFT(A4,FIND(".",A4)-1)</f>
        <v>a2</v>
      </c>
      <c r="C4" s="11" t="str">
        <f t="shared" ref="C4:C8" si="1">MID(A4,1,FIND(".",A4)-1)</f>
        <v>a2</v>
      </c>
      <c r="D4" s="11" t="str">
        <f>RIGHT(A4,LEN(A4)-FIND(".",A4))</f>
        <v>txt</v>
      </c>
      <c r="E4" s="11" t="str">
        <f t="shared" ref="E4:E8" si="2">MID(A4,FIND(".",A4)+1,100)</f>
        <v>txt</v>
      </c>
    </row>
    <row r="5" spans="1:5" ht="15" customHeight="1" x14ac:dyDescent="0.2">
      <c r="A5" s="11" t="s">
        <v>23</v>
      </c>
      <c r="B5" s="11" t="str">
        <f t="shared" si="0"/>
        <v>a3</v>
      </c>
      <c r="C5" s="11" t="str">
        <f t="shared" si="1"/>
        <v>a3</v>
      </c>
      <c r="D5" s="11" t="str">
        <f t="shared" ref="D5:D8" si="3">RIGHT(A5,LEN(A5)-FIND(".",A5))</f>
        <v>xlsx</v>
      </c>
      <c r="E5" s="11" t="str">
        <f t="shared" si="2"/>
        <v>xlsx</v>
      </c>
    </row>
    <row r="6" spans="1:5" ht="15" customHeight="1" x14ac:dyDescent="0.2">
      <c r="A6" s="11" t="s">
        <v>24</v>
      </c>
      <c r="B6" s="11" t="str">
        <f t="shared" si="0"/>
        <v>统计</v>
      </c>
      <c r="C6" s="11" t="str">
        <f t="shared" si="1"/>
        <v>统计</v>
      </c>
      <c r="D6" s="11" t="str">
        <f t="shared" si="3"/>
        <v>zip</v>
      </c>
      <c r="E6" s="11" t="str">
        <f t="shared" si="2"/>
        <v>zip</v>
      </c>
    </row>
    <row r="7" spans="1:5" ht="15" customHeight="1" x14ac:dyDescent="0.2">
      <c r="A7" s="11" t="s">
        <v>25</v>
      </c>
      <c r="B7" s="11" t="str">
        <f t="shared" si="0"/>
        <v>数据分析</v>
      </c>
      <c r="C7" s="11" t="str">
        <f t="shared" si="1"/>
        <v>数据分析</v>
      </c>
      <c r="D7" s="11" t="str">
        <f t="shared" si="3"/>
        <v>pptx</v>
      </c>
      <c r="E7" s="11" t="str">
        <f t="shared" si="2"/>
        <v>pptx</v>
      </c>
    </row>
    <row r="8" spans="1:5" ht="15" customHeight="1" x14ac:dyDescent="0.2">
      <c r="A8" s="11" t="s">
        <v>26</v>
      </c>
      <c r="B8" s="11" t="str">
        <f t="shared" si="0"/>
        <v>大数据</v>
      </c>
      <c r="C8" s="11" t="str">
        <f t="shared" si="1"/>
        <v>大数据</v>
      </c>
      <c r="D8" s="11" t="str">
        <f t="shared" si="3"/>
        <v>jpg</v>
      </c>
      <c r="E8" s="11" t="str">
        <f t="shared" si="2"/>
        <v>jpg</v>
      </c>
    </row>
  </sheetData>
  <mergeCells count="3">
    <mergeCell ref="B1:C1"/>
    <mergeCell ref="D1:E1"/>
    <mergeCell ref="A1:A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6"/>
  <sheetViews>
    <sheetView showGridLines="0" tabSelected="1" workbookViewId="0">
      <selection activeCell="I6" sqref="I6"/>
    </sheetView>
  </sheetViews>
  <sheetFormatPr defaultRowHeight="15" customHeight="1" x14ac:dyDescent="0.2"/>
  <cols>
    <col min="1" max="1" width="8.5" style="9" customWidth="1"/>
    <col min="2" max="3" width="7.5" style="9" customWidth="1"/>
    <col min="4" max="4" width="8.875" style="9" customWidth="1"/>
    <col min="5" max="7" width="7.5" style="6" customWidth="1"/>
    <col min="8" max="16384" width="9" style="6"/>
  </cols>
  <sheetData>
    <row r="1" spans="1:7" ht="15" customHeight="1" x14ac:dyDescent="0.2">
      <c r="A1" s="1" t="s">
        <v>34</v>
      </c>
      <c r="B1" s="1" t="s">
        <v>33</v>
      </c>
      <c r="D1" s="33" t="s">
        <v>92</v>
      </c>
      <c r="E1" s="1" t="s">
        <v>81</v>
      </c>
      <c r="F1" s="1" t="s">
        <v>82</v>
      </c>
      <c r="G1" s="1" t="s">
        <v>83</v>
      </c>
    </row>
    <row r="2" spans="1:7" ht="15" customHeight="1" x14ac:dyDescent="0.2">
      <c r="A2" s="2" t="s">
        <v>88</v>
      </c>
      <c r="B2" s="2" t="s">
        <v>29</v>
      </c>
      <c r="D2" s="33"/>
      <c r="E2" s="2" t="str">
        <f>LEFT(SUBSTITUTE(A2,"S",""),LENB(A2)-LEN(A2))</f>
        <v>上海</v>
      </c>
      <c r="F2" s="2" t="str">
        <f>LEFT(MID(A2,2,100),LENB(A2)-LEN(A2))</f>
        <v>上海</v>
      </c>
      <c r="G2" s="2" t="s">
        <v>35</v>
      </c>
    </row>
    <row r="3" spans="1:7" ht="15" customHeight="1" x14ac:dyDescent="0.2">
      <c r="A3" s="2" t="s">
        <v>89</v>
      </c>
      <c r="B3" s="2" t="s">
        <v>30</v>
      </c>
      <c r="D3" s="33"/>
      <c r="E3" s="2" t="str">
        <f t="shared" ref="E3:E5" si="0">LEFT(SUBSTITUTE(A3,"S",""),LENB(A3)-LEN(A3))</f>
        <v>北京</v>
      </c>
      <c r="F3" s="2" t="str">
        <f t="shared" ref="F3:F5" si="1">LEFT(MID(A3,2,100),LENB(A3)-LEN(A3))</f>
        <v>北京</v>
      </c>
      <c r="G3" s="2" t="s">
        <v>36</v>
      </c>
    </row>
    <row r="4" spans="1:7" ht="15" customHeight="1" x14ac:dyDescent="0.2">
      <c r="A4" s="2" t="s">
        <v>90</v>
      </c>
      <c r="B4" s="2" t="s">
        <v>31</v>
      </c>
      <c r="D4" s="33"/>
      <c r="E4" s="2" t="str">
        <f t="shared" si="0"/>
        <v>广州</v>
      </c>
      <c r="F4" s="2" t="str">
        <f t="shared" si="1"/>
        <v>广州</v>
      </c>
      <c r="G4" s="2" t="s">
        <v>37</v>
      </c>
    </row>
    <row r="5" spans="1:7" ht="15" customHeight="1" x14ac:dyDescent="0.2">
      <c r="A5" s="2" t="s">
        <v>91</v>
      </c>
      <c r="B5" s="2" t="s">
        <v>32</v>
      </c>
      <c r="D5" s="33"/>
      <c r="E5" s="2" t="str">
        <f t="shared" si="0"/>
        <v>深圳</v>
      </c>
      <c r="F5" s="2" t="str">
        <f t="shared" si="1"/>
        <v>深圳</v>
      </c>
      <c r="G5" s="2" t="s">
        <v>38</v>
      </c>
    </row>
    <row r="6" spans="1:7" ht="15" customHeight="1" x14ac:dyDescent="0.2">
      <c r="E6" s="9"/>
      <c r="F6" s="9"/>
      <c r="G6" s="9"/>
    </row>
  </sheetData>
  <mergeCells count="1">
    <mergeCell ref="D1:D5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7"/>
  <sheetViews>
    <sheetView showGridLines="0" workbookViewId="0">
      <selection activeCell="D10" sqref="D10"/>
    </sheetView>
  </sheetViews>
  <sheetFormatPr defaultRowHeight="15" customHeight="1" x14ac:dyDescent="0.2"/>
  <cols>
    <col min="1" max="1" width="10.25" style="9" bestFit="1" customWidth="1"/>
    <col min="2" max="2" width="3.5" style="9" customWidth="1"/>
    <col min="3" max="3" width="32.75" style="9" customWidth="1"/>
    <col min="4" max="5" width="6.75" style="6" bestFit="1" customWidth="1"/>
    <col min="6" max="16384" width="9" style="6"/>
  </cols>
  <sheetData>
    <row r="1" spans="1:5" ht="15" customHeight="1" x14ac:dyDescent="0.2">
      <c r="A1" s="5" t="s">
        <v>44</v>
      </c>
      <c r="C1" s="5" t="s">
        <v>45</v>
      </c>
      <c r="D1" s="5" t="s">
        <v>84</v>
      </c>
      <c r="E1" s="5" t="s">
        <v>85</v>
      </c>
    </row>
    <row r="2" spans="1:5" ht="15" customHeight="1" x14ac:dyDescent="0.2">
      <c r="A2" s="7" t="s">
        <v>39</v>
      </c>
      <c r="C2" s="8" t="s">
        <v>102</v>
      </c>
      <c r="D2" s="7">
        <f>COUNTIFS(A:A,"*A*")</f>
        <v>4</v>
      </c>
      <c r="E2" s="7">
        <f t="array" ref="E2">SUM(IFERROR(SEARCH("*a*",A2:A6),0))</f>
        <v>4</v>
      </c>
    </row>
    <row r="3" spans="1:5" ht="15" customHeight="1" x14ac:dyDescent="0.2">
      <c r="A3" s="7" t="s">
        <v>40</v>
      </c>
      <c r="C3" s="8" t="s">
        <v>103</v>
      </c>
      <c r="D3" s="7">
        <f t="array" ref="D3">SUM(IF(IFERROR(FIND("A",A1:A5),0)&gt;=1,1,0))</f>
        <v>1</v>
      </c>
      <c r="E3" s="7"/>
    </row>
    <row r="4" spans="1:5" ht="15" customHeight="1" x14ac:dyDescent="0.2">
      <c r="A4" s="7" t="s">
        <v>41</v>
      </c>
      <c r="C4" s="8" t="s">
        <v>104</v>
      </c>
      <c r="D4" s="7">
        <f t="array" ref="D4">SUM((LEFT(A1:A5,1)="a")+0)</f>
        <v>2</v>
      </c>
      <c r="E4" s="7">
        <f t="array" ref="E4">SUM(IFERROR(SEARCH("a",LEFT(A1:A5,1)),0))</f>
        <v>2</v>
      </c>
    </row>
    <row r="5" spans="1:5" ht="15" customHeight="1" x14ac:dyDescent="0.2">
      <c r="A5" s="7" t="s">
        <v>42</v>
      </c>
      <c r="C5" s="8" t="s">
        <v>105</v>
      </c>
      <c r="D5" s="7">
        <f t="array" ref="D5">SUM(EXACT(LEFT(A1:A5,1),"A")+0)</f>
        <v>1</v>
      </c>
      <c r="E5" s="7">
        <f t="array" ref="E5">SUM(IFERROR(FIND("A",LEFT(A1:A5,1)),0))</f>
        <v>1</v>
      </c>
    </row>
    <row r="6" spans="1:5" ht="15" customHeight="1" x14ac:dyDescent="0.2">
      <c r="A6" s="7" t="s">
        <v>43</v>
      </c>
      <c r="C6" s="8"/>
      <c r="D6" s="7"/>
      <c r="E6" s="7"/>
    </row>
    <row r="7" spans="1:5" ht="15" customHeight="1" x14ac:dyDescent="0.2">
      <c r="D7" s="9"/>
      <c r="E7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LEN&amp;LENB</vt:lpstr>
      <vt:lpstr>LEFT</vt:lpstr>
      <vt:lpstr>RIGHT</vt:lpstr>
      <vt:lpstr>MID</vt:lpstr>
      <vt:lpstr>UPPER-LOWER</vt:lpstr>
      <vt:lpstr>FIND</vt:lpstr>
      <vt:lpstr>SEARCH</vt:lpstr>
      <vt:lpstr>SUBSTITUTE</vt:lpstr>
      <vt:lpstr>REPLACE</vt:lpstr>
      <vt:lpstr>CONCATENATE</vt:lpstr>
      <vt:lpstr>EXACT</vt:lpstr>
      <vt:lpstr>TRIM</vt:lpstr>
      <vt:lpstr>实战1</vt:lpstr>
      <vt:lpstr>实战2</vt:lpstr>
      <vt:lpstr>实战3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2019-05-07T12:39:29Z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aa70e1fa-da62-40b3-9af0-90521a81812e</vt:lpwstr>
  </property>
</Properties>
</file>