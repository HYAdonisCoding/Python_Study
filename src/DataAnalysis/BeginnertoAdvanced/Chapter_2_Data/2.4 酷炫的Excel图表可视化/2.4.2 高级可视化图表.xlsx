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【数据分析从入门到进阶】配套数据\第2章\2.4 酷炫的Excel图表可视化\"/>
    </mc:Choice>
  </mc:AlternateContent>
  <xr:revisionPtr revIDLastSave="0" documentId="13_ncr:1_{ACEBACBB-2C5D-44D8-B0D7-F09C8B4F13FB}" xr6:coauthVersionLast="43" xr6:coauthVersionMax="43" xr10:uidLastSave="{00000000-0000-0000-0000-000000000000}"/>
  <bookViews>
    <workbookView xWindow="-120" yWindow="-120" windowWidth="24240" windowHeight="13140" tabRatio="906" xr2:uid="{00000000-000D-0000-FFFF-FFFF00000000}"/>
  </bookViews>
  <sheets>
    <sheet name="树状图" sheetId="11" r:id="rId1"/>
    <sheet name="旭日图" sheetId="12" r:id="rId2"/>
    <sheet name="直方图" sheetId="13" r:id="rId3"/>
    <sheet name="排列图" sheetId="25" r:id="rId4"/>
    <sheet name="排列图-组合图" sheetId="26" r:id="rId5"/>
    <sheet name="箱形图" sheetId="14" r:id="rId6"/>
    <sheet name="瀑布图" sheetId="15" r:id="rId7"/>
    <sheet name="漏斗图" sheetId="20" r:id="rId8"/>
    <sheet name="Map地图" sheetId="27" r:id="rId9"/>
    <sheet name="动态图表" sheetId="19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树状图!$A$2:$B$33</definedName>
    <definedName name="_xlnm._FilterDatabase" localSheetId="2" hidden="1">直方图!$A$2:$B$22</definedName>
    <definedName name="_xlchart.v1.0" hidden="1">树状图!$A$3:$A$33</definedName>
    <definedName name="_xlchart.v1.1" hidden="1">树状图!$B$2</definedName>
    <definedName name="_xlchart.v1.10" hidden="1">排列图!$B$2</definedName>
    <definedName name="_xlchart.v1.11" hidden="1">排列图!$B$3:$B$17</definedName>
    <definedName name="_xlchart.v1.12" hidden="1">箱形图!$A$3:$A$42</definedName>
    <definedName name="_xlchart.v1.13" hidden="1">箱形图!$B$2</definedName>
    <definedName name="_xlchart.v1.14" hidden="1">箱形图!$B$3:$B$42</definedName>
    <definedName name="_xlchart.v1.15" hidden="1">瀑布图!$A$3:$A$10</definedName>
    <definedName name="_xlchart.v1.16" hidden="1">瀑布图!$B$2</definedName>
    <definedName name="_xlchart.v1.17" hidden="1">瀑布图!$B$3:$B$10</definedName>
    <definedName name="_xlchart.v1.2" hidden="1">树状图!$B$3:$B$33</definedName>
    <definedName name="_xlchart.v1.3" hidden="1">旭日图!$A$3:$C$17</definedName>
    <definedName name="_xlchart.v1.4" hidden="1">旭日图!$D$2</definedName>
    <definedName name="_xlchart.v1.5" hidden="1">旭日图!$D$3:$D$17</definedName>
    <definedName name="_xlchart.v1.6" hidden="1">直方图!$A$3:$A$22</definedName>
    <definedName name="_xlchart.v1.7" hidden="1">直方图!$B$2</definedName>
    <definedName name="_xlchart.v1.8" hidden="1">直方图!$B$3:$B$22</definedName>
    <definedName name="_xlchart.v1.9" hidden="1">排列图!$A$3:$A$17</definedName>
    <definedName name="_xlcn.WorksheetConnection_Map地图A2C331" hidden="1">Map地图!$A$2:$C$33</definedName>
    <definedName name="_xlcn.WorksheetConnection_Sheet1A1B71" hidden="1">'[1]饼图-2'!$A$1:$B$7</definedName>
    <definedName name="_xlcn.WorksheetConnection_地图A1F321" hidden="1">[2]地图!$A$2:$F$33</definedName>
    <definedName name="_xlcn.WorksheetConnection_地图J1L321" hidden="1">[2]地图!$A$2:$C$33</definedName>
    <definedName name="_xlcn.WorksheetConnection_地图J1M321" hidden="1">[2]地图!$A$2:$D$33</definedName>
    <definedName name="_xlcn.WorksheetConnection_目录G1G31" hidden="1">[3]目录!$G$1:$G$3</definedName>
    <definedName name="标题">动态图表!$B$2:$D$2</definedName>
    <definedName name="业绩">OFFSET(动态图表!$A$2,动态图表!$F$2,1,1,3)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" name="区域" connection="WorksheetConnection_目录!$G$1:$G$3"/>
          <x15:modelTable id="区域 3" name="区域 3" connection="WorksheetConnection_地图!$J$1:$M$32"/>
          <x15:modelTable id="区域 2" name="区域 2" connection="WorksheetConnection_地图!$J$1:$L$32"/>
          <x15:modelTable id="区域 4" name="区域 4" connection="WorksheetConnection_地图!$A$1:$F$32"/>
          <x15:modelTable id="区域 1" name="区域 1" connection="WorksheetConnection_Sheet1!$A$1:$B$7"/>
          <x15:modelTable id="区域1" name="区域1" connection="WorksheetConnection_Map地图!$A$2:$C$3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0" l="1"/>
  <c r="B12" i="20"/>
  <c r="B13" i="20"/>
  <c r="B14" i="20"/>
  <c r="B15" i="20"/>
  <c r="D13" i="20"/>
  <c r="D14" i="20"/>
  <c r="D15" i="20"/>
  <c r="D12" i="20"/>
  <c r="E13" i="20"/>
  <c r="E14" i="20"/>
  <c r="E15" i="20"/>
  <c r="E12" i="20"/>
  <c r="C3" i="26" l="1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B6" i="15" l="1"/>
  <c r="B10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Map地图!$A$2:$C$33" type="102" refreshedVersion="6" minRefreshableVersion="5">
    <extLst>
      <ext xmlns:x15="http://schemas.microsoft.com/office/spreadsheetml/2010/11/main" uri="{DE250136-89BD-433C-8126-D09CA5730AF9}">
        <x15:connection id="区域1">
          <x15:rangePr sourceName="_xlcn.WorksheetConnection_Map地图A2C331"/>
        </x15:connection>
      </ext>
    </extLst>
  </connection>
  <connection id="3" xr16:uid="{00000000-0015-0000-FFFF-FFFF02000000}" name="WorksheetConnection_Sheet1!$A$1:$B$7" type="102" refreshedVersion="6" minRefreshableVersion="5">
    <extLst>
      <ext xmlns:x15="http://schemas.microsoft.com/office/spreadsheetml/2010/11/main" uri="{DE250136-89BD-433C-8126-D09CA5730AF9}">
        <x15:connection id="区域 1">
          <x15:rangePr sourceName="_xlcn.WorksheetConnection_Sheet1A1B71"/>
        </x15:connection>
      </ext>
    </extLst>
  </connection>
  <connection id="4" xr16:uid="{00000000-0015-0000-FFFF-FFFF03000000}" name="WorksheetConnection_地图!$A$1:$F$32" type="102" refreshedVersion="6" minRefreshableVersion="5">
    <extLst>
      <ext xmlns:x15="http://schemas.microsoft.com/office/spreadsheetml/2010/11/main" uri="{DE250136-89BD-433C-8126-D09CA5730AF9}">
        <x15:connection id="区域 4">
          <x15:rangePr sourceName="_xlcn.WorksheetConnection_地图A1F321"/>
        </x15:connection>
      </ext>
    </extLst>
  </connection>
  <connection id="5" xr16:uid="{00000000-0015-0000-FFFF-FFFF04000000}" name="WorksheetConnection_地图!$J$1:$L$32" type="102" refreshedVersion="6" minRefreshableVersion="5">
    <extLst>
      <ext xmlns:x15="http://schemas.microsoft.com/office/spreadsheetml/2010/11/main" uri="{DE250136-89BD-433C-8126-D09CA5730AF9}">
        <x15:connection id="区域 2">
          <x15:rangePr sourceName="_xlcn.WorksheetConnection_地图J1L321"/>
        </x15:connection>
      </ext>
    </extLst>
  </connection>
  <connection id="6" xr16:uid="{00000000-0015-0000-FFFF-FFFF05000000}" name="WorksheetConnection_地图!$J$1:$M$32" type="102" refreshedVersion="6" minRefreshableVersion="5">
    <extLst>
      <ext xmlns:x15="http://schemas.microsoft.com/office/spreadsheetml/2010/11/main" uri="{DE250136-89BD-433C-8126-D09CA5730AF9}">
        <x15:connection id="区域 3">
          <x15:rangePr sourceName="_xlcn.WorksheetConnection_地图J1M321"/>
        </x15:connection>
      </ext>
    </extLst>
  </connection>
  <connection id="7" xr16:uid="{00000000-0015-0000-FFFF-FFFF06000000}" name="WorksheetConnection_目录!$G$1:$G$3" type="102" refreshedVersion="6" minRefreshableVersion="5">
    <extLst>
      <ext xmlns:x15="http://schemas.microsoft.com/office/spreadsheetml/2010/11/main" uri="{DE250136-89BD-433C-8126-D09CA5730AF9}">
        <x15:connection id="区域">
          <x15:rangePr sourceName="_xlcn.WorksheetConnection_目录G1G31"/>
        </x15:connection>
      </ext>
    </extLst>
  </connection>
</connections>
</file>

<file path=xl/sharedStrings.xml><?xml version="1.0" encoding="utf-8"?>
<sst xmlns="http://schemas.openxmlformats.org/spreadsheetml/2006/main" count="228" uniqueCount="136">
  <si>
    <t>省份</t>
    <phoneticPr fontId="1" type="noConversion"/>
  </si>
  <si>
    <t>电器</t>
    <phoneticPr fontId="1" type="noConversion"/>
  </si>
  <si>
    <t>服装</t>
    <phoneticPr fontId="1" type="noConversion"/>
  </si>
  <si>
    <t>日用品</t>
    <phoneticPr fontId="1" type="noConversion"/>
  </si>
  <si>
    <t>江苏</t>
    <phoneticPr fontId="1" type="noConversion"/>
  </si>
  <si>
    <t>浙江</t>
    <phoneticPr fontId="1" type="noConversion"/>
  </si>
  <si>
    <t>上海</t>
    <phoneticPr fontId="1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</si>
  <si>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</si>
  <si>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</si>
  <si>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</si>
  <si>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</si>
  <si>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</si>
  <si>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</si>
  <si>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</si>
  <si>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</si>
  <si>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</si>
  <si>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地区</t>
  </si>
  <si>
    <t>上海市</t>
  </si>
  <si>
    <t>北京市</t>
  </si>
  <si>
    <t>内蒙古</t>
  </si>
  <si>
    <t>广西</t>
  </si>
  <si>
    <t>天津市</t>
  </si>
  <si>
    <t>重庆市</t>
  </si>
  <si>
    <t>新疆</t>
  </si>
  <si>
    <t>宁夏</t>
  </si>
  <si>
    <t>西藏</t>
  </si>
  <si>
    <t>广东</t>
  </si>
  <si>
    <t>江苏</t>
  </si>
  <si>
    <t>山东</t>
  </si>
  <si>
    <t>浙江</t>
  </si>
  <si>
    <t>河南</t>
  </si>
  <si>
    <t>河北</t>
  </si>
  <si>
    <t>辽宁</t>
  </si>
  <si>
    <t>四川</t>
  </si>
  <si>
    <t>湖北</t>
  </si>
  <si>
    <t>湖南</t>
  </si>
  <si>
    <t>福建</t>
  </si>
  <si>
    <t>安徽</t>
  </si>
  <si>
    <t>陕西</t>
  </si>
  <si>
    <t>黑龙江</t>
  </si>
  <si>
    <t>江西</t>
  </si>
  <si>
    <t>吉林</t>
  </si>
  <si>
    <t>山西</t>
  </si>
  <si>
    <t>云南</t>
  </si>
  <si>
    <t>贵州</t>
  </si>
  <si>
    <t>甘肃</t>
  </si>
  <si>
    <t>海南</t>
  </si>
  <si>
    <t>青海</t>
  </si>
  <si>
    <t>季度</t>
    <phoneticPr fontId="1" type="noConversion"/>
  </si>
  <si>
    <t>月份</t>
    <phoneticPr fontId="1" type="noConversion"/>
  </si>
  <si>
    <t>周</t>
    <phoneticPr fontId="1" type="noConversion"/>
  </si>
  <si>
    <t>销售额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</si>
  <si>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</si>
  <si>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</si>
  <si>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</si>
  <si>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项目</t>
    <phoneticPr fontId="1" type="noConversion"/>
  </si>
  <si>
    <t>金额</t>
    <phoneticPr fontId="1" type="noConversion"/>
  </si>
  <si>
    <t>基本工资</t>
    <phoneticPr fontId="1" type="noConversion"/>
  </si>
  <si>
    <t>绩效工资</t>
    <phoneticPr fontId="1" type="noConversion"/>
  </si>
  <si>
    <t>加班工资</t>
    <phoneticPr fontId="1" type="noConversion"/>
  </si>
  <si>
    <t>应发工资</t>
    <phoneticPr fontId="1" type="noConversion"/>
  </si>
  <si>
    <t>保险</t>
    <phoneticPr fontId="1" type="noConversion"/>
  </si>
  <si>
    <t>公积金</t>
    <phoneticPr fontId="1" type="noConversion"/>
  </si>
  <si>
    <t>个税</t>
    <phoneticPr fontId="1" type="noConversion"/>
  </si>
  <si>
    <t>实发工资</t>
    <phoneticPr fontId="1" type="noConversion"/>
  </si>
  <si>
    <t>1）插入控件，设置控件格式</t>
    <phoneticPr fontId="1" type="noConversion"/>
  </si>
  <si>
    <t>2）定义名称管理器，定义名称</t>
    <phoneticPr fontId="1" type="noConversion"/>
  </si>
  <si>
    <t>3）绘制图表，装入数据</t>
    <phoneticPr fontId="1" type="noConversion"/>
  </si>
  <si>
    <t>步骤</t>
    <phoneticPr fontId="1" type="noConversion"/>
  </si>
  <si>
    <t>人数</t>
    <phoneticPr fontId="1" type="noConversion"/>
  </si>
  <si>
    <t>浏览产品页</t>
    <phoneticPr fontId="1" type="noConversion"/>
  </si>
  <si>
    <t>点击购买</t>
    <phoneticPr fontId="1" type="noConversion"/>
  </si>
  <si>
    <r>
      <rPr>
        <b/>
        <sz val="11"/>
        <color rgb="FF333333"/>
        <rFont val="宋体"/>
        <family val="3"/>
        <charset val="134"/>
      </rPr>
      <t>瀑布图</t>
    </r>
    <r>
      <rPr>
        <sz val="11"/>
        <color rgb="FF333333"/>
        <rFont val="宋体"/>
        <family val="3"/>
        <charset val="134"/>
      </rPr>
      <t>是由麦肯锡顾问公司所独创的图表类型，因为形似瀑布流水而称之为瀑布图</t>
    </r>
    <r>
      <rPr>
        <sz val="11"/>
        <color rgb="FF333333"/>
        <rFont val="Times New Roman"/>
        <family val="1"/>
      </rPr>
      <t>( Waterfall Plot)</t>
    </r>
    <r>
      <rPr>
        <sz val="11"/>
        <color rgb="FF333333"/>
        <rFont val="宋体"/>
        <family val="3"/>
        <charset val="134"/>
      </rPr>
      <t>。此种图表采用绝对值与相对值结合的方式，适用于表达数个特定数值之间的数量变化关系</t>
    </r>
    <phoneticPr fontId="1" type="noConversion"/>
  </si>
  <si>
    <t>辅助列</t>
    <phoneticPr fontId="1" type="noConversion"/>
  </si>
  <si>
    <t>GDP</t>
    <phoneticPr fontId="1" type="noConversion"/>
  </si>
  <si>
    <t>第一周</t>
    <phoneticPr fontId="1" type="noConversion"/>
  </si>
  <si>
    <t>第二周</t>
    <phoneticPr fontId="1" type="noConversion"/>
  </si>
  <si>
    <t>第三周</t>
    <phoneticPr fontId="1" type="noConversion"/>
  </si>
  <si>
    <t>第四周</t>
    <phoneticPr fontId="1" type="noConversion"/>
  </si>
  <si>
    <t>旭日图非常适合显示分层数据。 层次结构的每个级别均通过一个环或圆形表示，最内层的圆表示层次结构的顶级。 不含任何分层数据（类别的一个级别）的旭日图与圆环图类似。 但具有多个级别的类别的旭日图显示外环与内环的关系。 旭日图在显示一个环如何被划分为作用片段时最有效，而另一种类型的分层图表树状图适合比较相对大小。</t>
    <phoneticPr fontId="1" type="noConversion"/>
  </si>
  <si>
    <t>姓名</t>
    <phoneticPr fontId="1" type="noConversion"/>
  </si>
  <si>
    <t>st_1</t>
    <phoneticPr fontId="1" type="noConversion"/>
  </si>
  <si>
    <t>st_2</t>
  </si>
  <si>
    <t>st_3</t>
  </si>
  <si>
    <t>st_4</t>
  </si>
  <si>
    <t>st_5</t>
  </si>
  <si>
    <t>st_6</t>
  </si>
  <si>
    <t>st_7</t>
  </si>
  <si>
    <t>st_8</t>
  </si>
  <si>
    <t>st_9</t>
  </si>
  <si>
    <t>st_10</t>
  </si>
  <si>
    <t>st_11</t>
  </si>
  <si>
    <t>st_12</t>
  </si>
  <si>
    <t>st_13</t>
  </si>
  <si>
    <t>st_14</t>
  </si>
  <si>
    <t>st_15</t>
  </si>
  <si>
    <t>st_16</t>
  </si>
  <si>
    <t>st_17</t>
  </si>
  <si>
    <t>st_18</t>
  </si>
  <si>
    <t>st_19</t>
  </si>
  <si>
    <t>st_20</t>
  </si>
  <si>
    <t>业绩</t>
    <phoneticPr fontId="1" type="noConversion"/>
  </si>
  <si>
    <t>成绩</t>
    <phoneticPr fontId="1" type="noConversion"/>
  </si>
  <si>
    <t>员工</t>
    <phoneticPr fontId="1" type="noConversion"/>
  </si>
  <si>
    <t>Em_1</t>
    <phoneticPr fontId="1" type="noConversion"/>
  </si>
  <si>
    <t>Em_2</t>
  </si>
  <si>
    <t>Em_3</t>
  </si>
  <si>
    <t>Em_4</t>
  </si>
  <si>
    <t>Em_5</t>
  </si>
  <si>
    <t>Em_6</t>
  </si>
  <si>
    <t>Em_7</t>
  </si>
  <si>
    <t>Em_8</t>
  </si>
  <si>
    <t>Em_9</t>
  </si>
  <si>
    <t>Em_10</t>
  </si>
  <si>
    <t>Em_11</t>
  </si>
  <si>
    <t>Em_12</t>
  </si>
  <si>
    <t>Em_13</t>
  </si>
  <si>
    <t>Em_14</t>
  </si>
  <si>
    <t>Em_15</t>
  </si>
  <si>
    <t>累计业绩占比</t>
    <phoneticPr fontId="1" type="noConversion"/>
  </si>
  <si>
    <t>完成付款</t>
    <phoneticPr fontId="1" type="noConversion"/>
  </si>
  <si>
    <t>点击付款</t>
    <phoneticPr fontId="1" type="noConversion"/>
  </si>
  <si>
    <t>打开APP</t>
    <phoneticPr fontId="1" type="noConversion"/>
  </si>
  <si>
    <t>总体转化率</t>
    <phoneticPr fontId="1" type="noConversion"/>
  </si>
  <si>
    <t>各环节转化率</t>
    <phoneticPr fontId="1" type="noConversion"/>
  </si>
  <si>
    <t>客户</t>
    <phoneticPr fontId="1" type="noConversion"/>
  </si>
  <si>
    <t>消费金额</t>
    <phoneticPr fontId="1" type="noConversion"/>
  </si>
  <si>
    <t>刘丽</t>
    <phoneticPr fontId="1" type="noConversion"/>
  </si>
  <si>
    <t>吴佳</t>
    <phoneticPr fontId="1" type="noConversion"/>
  </si>
  <si>
    <t>刘达</t>
    <phoneticPr fontId="1" type="noConversion"/>
  </si>
  <si>
    <t>陈娴</t>
    <phoneticPr fontId="1" type="noConversion"/>
  </si>
  <si>
    <r>
      <rPr>
        <b/>
        <sz val="10"/>
        <color rgb="FFFF0000"/>
        <rFont val="宋体"/>
        <family val="3"/>
        <charset val="134"/>
      </rPr>
      <t>注意</t>
    </r>
    <r>
      <rPr>
        <sz val="10"/>
        <color theme="1"/>
        <rFont val="宋体"/>
        <family val="3"/>
        <charset val="134"/>
      </rPr>
      <t>：理解offset函数</t>
    </r>
    <phoneticPr fontId="1" type="noConversion"/>
  </si>
  <si>
    <t>山东</t>
    <phoneticPr fontId="1" type="noConversion"/>
  </si>
  <si>
    <t>GDP</t>
  </si>
  <si>
    <t>人口</t>
  </si>
  <si>
    <t>台湾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</si>
</sst>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_);[Red]\(0\)"/>
    <numFmt numFmtId="178" formatCode="0.0_ "/>
    <numFmt numFmtId="179" formatCode="0_ "/>
  </numFmts>
  <fonts count="3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name val="Helv"/>
      <family val="2"/>
    </font>
    <font>
      <sz val="10"/>
      <name val="Arial"/>
      <family val="2"/>
    </font>
    <font>
      <sz val="9"/>
      <color rgb="FF002060"/>
      <name val="Arial Unicode MS"/>
      <family val="2"/>
      <charset val="134"/>
    </font>
    <font>
      <sz val="10"/>
      <color indexed="8"/>
      <name val="Arial"/>
      <family val="2"/>
    </font>
    <font>
      <sz val="9"/>
      <color theme="1"/>
      <name val="Calibri"/>
      <family val="2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微软雅黑"/>
      <family val="2"/>
      <charset val="134"/>
    </font>
    <font>
      <sz val="9"/>
      <name val="Calibri"/>
      <family val="2"/>
    </font>
    <font>
      <sz val="11"/>
      <color theme="1"/>
      <name val="Tahoma"/>
      <family val="2"/>
    </font>
    <font>
      <u/>
      <sz val="11"/>
      <color theme="10"/>
      <name val="宋体"/>
      <family val="3"/>
      <charset val="134"/>
    </font>
    <font>
      <u/>
      <sz val="9"/>
      <color theme="10"/>
      <name val="Calibri"/>
      <family val="2"/>
    </font>
    <font>
      <sz val="10"/>
      <color indexed="8"/>
      <name val="MS Sans Serif"/>
      <family val="2"/>
    </font>
    <font>
      <b/>
      <sz val="11"/>
      <color theme="1"/>
      <name val="等线"/>
      <family val="3"/>
      <charset val="134"/>
      <scheme val="minor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b/>
      <sz val="11"/>
      <color rgb="FF333333"/>
      <name val="宋体"/>
      <family val="3"/>
      <charset val="134"/>
    </font>
    <font>
      <sz val="11"/>
      <color rgb="FF333333"/>
      <name val="宋体"/>
      <family val="3"/>
      <charset val="134"/>
    </font>
    <font>
      <b/>
      <sz val="11"/>
      <color rgb="FF333333"/>
      <name val="Times New Roman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theme="1" tint="4.9989318521683403E-2"/>
      <name val="宋体"/>
      <family val="3"/>
      <charset val="134"/>
    </font>
    <font>
      <b/>
      <sz val="10"/>
      <color indexed="8" tint="4.9989318521683403E-2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 applyBorder="0"/>
    <xf numFmtId="0" fontId="9" fillId="0" borderId="0"/>
    <xf numFmtId="176" fontId="10" fillId="0" borderId="0" applyFont="0" applyFill="0" applyBorder="0" applyAlignment="0" applyProtection="0"/>
    <xf numFmtId="0" fontId="11" fillId="0" borderId="2" applyNumberFormat="0" applyBorder="0" applyProtection="0">
      <alignment horizontal="center" vertical="center"/>
    </xf>
    <xf numFmtId="0" fontId="12" fillId="0" borderId="0"/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8" fillId="0" borderId="0"/>
    <xf numFmtId="0" fontId="8" fillId="0" borderId="0"/>
    <xf numFmtId="0" fontId="1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12" fillId="0" borderId="0">
      <alignment vertical="top"/>
    </xf>
    <xf numFmtId="0" fontId="8" fillId="0" borderId="0">
      <alignment vertical="top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43" fontId="12" fillId="0" borderId="0" applyFont="0" applyFill="0" applyBorder="0" applyAlignment="0" applyProtection="0">
      <alignment vertical="top"/>
    </xf>
    <xf numFmtId="43" fontId="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1" fillId="0" borderId="0"/>
    <xf numFmtId="0" fontId="5" fillId="0" borderId="0">
      <alignment vertical="center"/>
    </xf>
  </cellStyleXfs>
  <cellXfs count="55">
    <xf numFmtId="0" fontId="0" fillId="0" borderId="0" xfId="0"/>
    <xf numFmtId="0" fontId="2" fillId="0" borderId="0" xfId="0" applyFont="1"/>
    <xf numFmtId="0" fontId="0" fillId="0" borderId="0" xfId="0"/>
    <xf numFmtId="177" fontId="7" fillId="0" borderId="0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29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9" fillId="0" borderId="0" xfId="0" applyFont="1"/>
    <xf numFmtId="9" fontId="29" fillId="0" borderId="1" xfId="2" applyFont="1" applyBorder="1" applyAlignment="1">
      <alignment horizontal="center"/>
    </xf>
    <xf numFmtId="0" fontId="29" fillId="0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3" fontId="31" fillId="3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78" fontId="28" fillId="2" borderId="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8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177" fontId="29" fillId="0" borderId="0" xfId="0" applyNumberFormat="1" applyFont="1"/>
    <xf numFmtId="177" fontId="28" fillId="2" borderId="1" xfId="0" applyNumberFormat="1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177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top"/>
    </xf>
    <xf numFmtId="9" fontId="28" fillId="2" borderId="1" xfId="2" applyFont="1" applyFill="1" applyBorder="1" applyAlignment="1">
      <alignment horizontal="center" vertical="center"/>
    </xf>
    <xf numFmtId="9" fontId="29" fillId="0" borderId="0" xfId="2" applyFont="1" applyAlignment="1"/>
    <xf numFmtId="9" fontId="29" fillId="4" borderId="1" xfId="2" applyFont="1" applyFill="1" applyBorder="1" applyAlignment="1">
      <alignment horizontal="center" vertical="center"/>
    </xf>
    <xf numFmtId="0" fontId="29" fillId="0" borderId="0" xfId="0" applyFont="1" applyFill="1"/>
    <xf numFmtId="0" fontId="29" fillId="2" borderId="1" xfId="0" applyFont="1" applyFill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/>
    </xf>
    <xf numFmtId="0" fontId="30" fillId="0" borderId="0" xfId="0" applyFont="1" applyAlignment="1"/>
    <xf numFmtId="0" fontId="30" fillId="0" borderId="0" xfId="0" applyFont="1"/>
    <xf numFmtId="0" fontId="30" fillId="0" borderId="0" xfId="0" applyFont="1" applyFill="1"/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1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  <xf numFmtId="0" fontId="28" fillId="5" borderId="0" xfId="0" applyFont="1" applyFill="1" applyAlignment="1">
      <alignment horizontal="center" vertical="center" wrapText="1"/>
    </xf>
    <xf numFmtId="0" fontId="33" fillId="2" borderId="1" xfId="0" applyFont="1" applyFill="1" applyBorder="1" applyAlignment="1">
      <alignment horizontal="center"/>
    </xf>
    <xf numFmtId="0" fontId="32" fillId="2" borderId="1" xfId="60" applyFont="1" applyFill="1" applyBorder="1" applyAlignment="1">
      <alignment horizontal="center" vertical="center"/>
    </xf>
    <xf numFmtId="179" fontId="32" fillId="2" borderId="1" xfId="60" applyNumberFormat="1" applyFont="1" applyFill="1" applyBorder="1" applyAlignment="1">
      <alignment horizontal="center" vertical="center"/>
    </xf>
    <xf numFmtId="0" fontId="29" fillId="0" borderId="0" xfId="60" applyFont="1">
      <alignment vertical="center"/>
    </xf>
    <xf numFmtId="0" fontId="31" fillId="3" borderId="1" xfId="60" applyFont="1" applyFill="1" applyBorder="1" applyAlignment="1">
      <alignment horizontal="center" vertical="center" wrapText="1"/>
    </xf>
    <xf numFmtId="179" fontId="31" fillId="3" borderId="1" xfId="60" applyNumberFormat="1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</cellXfs>
  <cellStyles count="61">
    <cellStyle name="3232" xfId="4" xr:uid="{00000000-0005-0000-0000-000000000000}"/>
    <cellStyle name="A4 Small 210 x 297 mm" xfId="5" xr:uid="{00000000-0005-0000-0000-000001000000}"/>
    <cellStyle name="Currency_Sheet1" xfId="6" xr:uid="{00000000-0005-0000-0000-000002000000}"/>
    <cellStyle name="GL23" xfId="7" xr:uid="{00000000-0005-0000-0000-000003000000}"/>
    <cellStyle name="Normal_12" xfId="8" xr:uid="{00000000-0005-0000-0000-000004000000}"/>
    <cellStyle name="百分比" xfId="2" builtinId="5"/>
    <cellStyle name="百分比 2" xfId="9" xr:uid="{00000000-0005-0000-0000-000006000000}"/>
    <cellStyle name="百分比 3" xfId="10" xr:uid="{00000000-0005-0000-0000-000007000000}"/>
    <cellStyle name="百分比 4" xfId="11" xr:uid="{00000000-0005-0000-0000-000008000000}"/>
    <cellStyle name="常规" xfId="0" builtinId="0"/>
    <cellStyle name="常规 10" xfId="12" xr:uid="{00000000-0005-0000-0000-00000A000000}"/>
    <cellStyle name="常规 11" xfId="13" xr:uid="{00000000-0005-0000-0000-00000B000000}"/>
    <cellStyle name="常规 12" xfId="14" xr:uid="{00000000-0005-0000-0000-00000C000000}"/>
    <cellStyle name="常规 13" xfId="15" xr:uid="{00000000-0005-0000-0000-00000D000000}"/>
    <cellStyle name="常规 14" xfId="16" xr:uid="{00000000-0005-0000-0000-00000E000000}"/>
    <cellStyle name="常规 14 2" xfId="17" xr:uid="{00000000-0005-0000-0000-00000F000000}"/>
    <cellStyle name="常规 15" xfId="18" xr:uid="{00000000-0005-0000-0000-000010000000}"/>
    <cellStyle name="常规 16" xfId="19" xr:uid="{00000000-0005-0000-0000-000011000000}"/>
    <cellStyle name="常规 17" xfId="20" xr:uid="{00000000-0005-0000-0000-000012000000}"/>
    <cellStyle name="常规 18" xfId="21" xr:uid="{00000000-0005-0000-0000-000013000000}"/>
    <cellStyle name="常规 19" xfId="22" xr:uid="{00000000-0005-0000-0000-000014000000}"/>
    <cellStyle name="常规 19 2" xfId="23" xr:uid="{00000000-0005-0000-0000-000015000000}"/>
    <cellStyle name="常规 19 3" xfId="24" xr:uid="{00000000-0005-0000-0000-000016000000}"/>
    <cellStyle name="常规 2" xfId="3" xr:uid="{00000000-0005-0000-0000-000017000000}"/>
    <cellStyle name="常规 2 15" xfId="25" xr:uid="{00000000-0005-0000-0000-000018000000}"/>
    <cellStyle name="常规 2 16" xfId="26" xr:uid="{00000000-0005-0000-0000-000019000000}"/>
    <cellStyle name="常规 2 17" xfId="27" xr:uid="{00000000-0005-0000-0000-00001A000000}"/>
    <cellStyle name="常规 2 2" xfId="28" xr:uid="{00000000-0005-0000-0000-00001B000000}"/>
    <cellStyle name="常规 2 2 2" xfId="29" xr:uid="{00000000-0005-0000-0000-00001C000000}"/>
    <cellStyle name="常规 2 3" xfId="30" xr:uid="{00000000-0005-0000-0000-00001D000000}"/>
    <cellStyle name="常规 2 4" xfId="31" xr:uid="{00000000-0005-0000-0000-00001E000000}"/>
    <cellStyle name="常规 2 5" xfId="32" xr:uid="{00000000-0005-0000-0000-00001F000000}"/>
    <cellStyle name="常规 20" xfId="33" xr:uid="{00000000-0005-0000-0000-000020000000}"/>
    <cellStyle name="常规 21" xfId="34" xr:uid="{00000000-0005-0000-0000-000021000000}"/>
    <cellStyle name="常规 22" xfId="35" xr:uid="{00000000-0005-0000-0000-000022000000}"/>
    <cellStyle name="常规 23" xfId="36" xr:uid="{00000000-0005-0000-0000-000023000000}"/>
    <cellStyle name="常规 24" xfId="37" xr:uid="{00000000-0005-0000-0000-000024000000}"/>
    <cellStyle name="常规 25" xfId="38" xr:uid="{00000000-0005-0000-0000-000025000000}"/>
    <cellStyle name="常规 26" xfId="39" xr:uid="{00000000-0005-0000-0000-000026000000}"/>
    <cellStyle name="常规 27" xfId="40" xr:uid="{00000000-0005-0000-0000-000027000000}"/>
    <cellStyle name="常规 28" xfId="41" xr:uid="{00000000-0005-0000-0000-000028000000}"/>
    <cellStyle name="常规 29" xfId="60" xr:uid="{00000000-0005-0000-0000-000029000000}"/>
    <cellStyle name="常规 3" xfId="42" xr:uid="{00000000-0005-0000-0000-00002A000000}"/>
    <cellStyle name="常规 3 2" xfId="43" xr:uid="{00000000-0005-0000-0000-00002B000000}"/>
    <cellStyle name="常规 3 3" xfId="44" xr:uid="{00000000-0005-0000-0000-00002C000000}"/>
    <cellStyle name="常规 4" xfId="45" xr:uid="{00000000-0005-0000-0000-00002D000000}"/>
    <cellStyle name="常规 4 2" xfId="46" xr:uid="{00000000-0005-0000-0000-00002E000000}"/>
    <cellStyle name="常规 4 2 2" xfId="47" xr:uid="{00000000-0005-0000-0000-00002F000000}"/>
    <cellStyle name="常规 5" xfId="48" xr:uid="{00000000-0005-0000-0000-000030000000}"/>
    <cellStyle name="常规 6" xfId="49" xr:uid="{00000000-0005-0000-0000-000031000000}"/>
    <cellStyle name="常规 7" xfId="50" xr:uid="{00000000-0005-0000-0000-000032000000}"/>
    <cellStyle name="常规 8" xfId="51" xr:uid="{00000000-0005-0000-0000-000033000000}"/>
    <cellStyle name="常规 9" xfId="52" xr:uid="{00000000-0005-0000-0000-000034000000}"/>
    <cellStyle name="超链接" xfId="1" builtinId="8"/>
    <cellStyle name="超链接 10" xfId="53" xr:uid="{00000000-0005-0000-0000-000036000000}"/>
    <cellStyle name="超链接 2" xfId="54" xr:uid="{00000000-0005-0000-0000-000037000000}"/>
    <cellStyle name="超链接 3" xfId="55" xr:uid="{00000000-0005-0000-0000-000038000000}"/>
    <cellStyle name="千位分隔 2" xfId="56" xr:uid="{00000000-0005-0000-0000-000039000000}"/>
    <cellStyle name="千位分隔 2 3" xfId="57" xr:uid="{00000000-0005-0000-0000-00003A000000}"/>
    <cellStyle name="千位分隔 3" xfId="58" xr:uid="{00000000-0005-0000-0000-00003B000000}"/>
    <cellStyle name="样式 1" xfId="59" xr:uid="{00000000-0005-0000-0000-00003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3366"/>
      <color rgb="FF0033CC"/>
      <color rgb="FFFF9900"/>
      <color rgb="FF3366FF"/>
      <color rgb="FF0FF1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zh-CN" sz="1400" b="1" i="0" baseline="0">
                <a:effectLst/>
              </a:rPr>
              <a:t>员工业绩之</a:t>
            </a:r>
            <a:r>
              <a:rPr lang="zh-CN" altLang="en-US" sz="1400" b="1" i="0" baseline="0">
                <a:effectLst/>
              </a:rPr>
              <a:t>组合图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081480795022574E-2"/>
          <c:y val="0.17836922856548923"/>
          <c:w val="0.8565852813196202"/>
          <c:h val="0.6390907201115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'排列图-组合图'!$B$2</c:f>
              <c:strCache>
                <c:ptCount val="1"/>
                <c:pt idx="0">
                  <c:v>业绩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'排列图-组合图'!$A$3:$A$17</c:f>
              <c:strCache>
                <c:ptCount val="15"/>
                <c:pt idx="0">
                  <c:v>Em_6</c:v>
                </c:pt>
                <c:pt idx="1">
                  <c:v>Em_12</c:v>
                </c:pt>
                <c:pt idx="2">
                  <c:v>Em_1</c:v>
                </c:pt>
                <c:pt idx="3">
                  <c:v>Em_9</c:v>
                </c:pt>
                <c:pt idx="4">
                  <c:v>Em_11</c:v>
                </c:pt>
                <c:pt idx="5">
                  <c:v>Em_5</c:v>
                </c:pt>
                <c:pt idx="6">
                  <c:v>Em_7</c:v>
                </c:pt>
                <c:pt idx="7">
                  <c:v>Em_14</c:v>
                </c:pt>
                <c:pt idx="8">
                  <c:v>Em_10</c:v>
                </c:pt>
                <c:pt idx="9">
                  <c:v>Em_3</c:v>
                </c:pt>
                <c:pt idx="10">
                  <c:v>Em_13</c:v>
                </c:pt>
                <c:pt idx="11">
                  <c:v>Em_8</c:v>
                </c:pt>
                <c:pt idx="12">
                  <c:v>Em_15</c:v>
                </c:pt>
                <c:pt idx="13">
                  <c:v>Em_4</c:v>
                </c:pt>
                <c:pt idx="14">
                  <c:v>Em_2</c:v>
                </c:pt>
              </c:strCache>
            </c:strRef>
          </c:cat>
          <c:val>
            <c:numRef>
              <c:f>'排列图-组合图'!$B$3:$B$17</c:f>
              <c:numCache>
                <c:formatCode>General</c:formatCode>
                <c:ptCount val="15"/>
                <c:pt idx="0">
                  <c:v>185</c:v>
                </c:pt>
                <c:pt idx="1">
                  <c:v>176</c:v>
                </c:pt>
                <c:pt idx="2">
                  <c:v>150</c:v>
                </c:pt>
                <c:pt idx="3">
                  <c:v>147</c:v>
                </c:pt>
                <c:pt idx="4">
                  <c:v>82</c:v>
                </c:pt>
                <c:pt idx="5">
                  <c:v>75</c:v>
                </c:pt>
                <c:pt idx="6">
                  <c:v>72</c:v>
                </c:pt>
                <c:pt idx="7">
                  <c:v>71</c:v>
                </c:pt>
                <c:pt idx="8">
                  <c:v>66</c:v>
                </c:pt>
                <c:pt idx="9">
                  <c:v>54</c:v>
                </c:pt>
                <c:pt idx="10">
                  <c:v>48</c:v>
                </c:pt>
                <c:pt idx="11">
                  <c:v>41</c:v>
                </c:pt>
                <c:pt idx="12">
                  <c:v>38</c:v>
                </c:pt>
                <c:pt idx="13">
                  <c:v>37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B-4167-9321-3C84C8D8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overlap val="-27"/>
        <c:axId val="669212616"/>
        <c:axId val="669212944"/>
      </c:barChart>
      <c:lineChart>
        <c:grouping val="standard"/>
        <c:varyColors val="0"/>
        <c:ser>
          <c:idx val="1"/>
          <c:order val="1"/>
          <c:tx>
            <c:strRef>
              <c:f>'排列图-组合图'!$C$2</c:f>
              <c:strCache>
                <c:ptCount val="1"/>
                <c:pt idx="0">
                  <c:v>累计业绩占比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'排列图-组合图'!$A$3:$A$17</c:f>
              <c:strCache>
                <c:ptCount val="15"/>
                <c:pt idx="0">
                  <c:v>Em_6</c:v>
                </c:pt>
                <c:pt idx="1">
                  <c:v>Em_12</c:v>
                </c:pt>
                <c:pt idx="2">
                  <c:v>Em_1</c:v>
                </c:pt>
                <c:pt idx="3">
                  <c:v>Em_9</c:v>
                </c:pt>
                <c:pt idx="4">
                  <c:v>Em_11</c:v>
                </c:pt>
                <c:pt idx="5">
                  <c:v>Em_5</c:v>
                </c:pt>
                <c:pt idx="6">
                  <c:v>Em_7</c:v>
                </c:pt>
                <c:pt idx="7">
                  <c:v>Em_14</c:v>
                </c:pt>
                <c:pt idx="8">
                  <c:v>Em_10</c:v>
                </c:pt>
                <c:pt idx="9">
                  <c:v>Em_3</c:v>
                </c:pt>
                <c:pt idx="10">
                  <c:v>Em_13</c:v>
                </c:pt>
                <c:pt idx="11">
                  <c:v>Em_8</c:v>
                </c:pt>
                <c:pt idx="12">
                  <c:v>Em_15</c:v>
                </c:pt>
                <c:pt idx="13">
                  <c:v>Em_4</c:v>
                </c:pt>
                <c:pt idx="14">
                  <c:v>Em_2</c:v>
                </c:pt>
              </c:strCache>
            </c:strRef>
          </c:cat>
          <c:val>
            <c:numRef>
              <c:f>'排列图-组合图'!$C$3:$C$17</c:f>
              <c:numCache>
                <c:formatCode>0%</c:formatCode>
                <c:ptCount val="15"/>
                <c:pt idx="0">
                  <c:v>0.147175815433572</c:v>
                </c:pt>
                <c:pt idx="1">
                  <c:v>0.28719172633253781</c:v>
                </c:pt>
                <c:pt idx="2">
                  <c:v>0.40652346857597454</c:v>
                </c:pt>
                <c:pt idx="3">
                  <c:v>0.52346857597454255</c:v>
                </c:pt>
                <c:pt idx="4">
                  <c:v>0.588703261734288</c:v>
                </c:pt>
                <c:pt idx="5">
                  <c:v>0.64836913285600639</c:v>
                </c:pt>
                <c:pt idx="6">
                  <c:v>0.705648369132856</c:v>
                </c:pt>
                <c:pt idx="7">
                  <c:v>0.76213206046141602</c:v>
                </c:pt>
                <c:pt idx="8">
                  <c:v>0.81463802704852828</c:v>
                </c:pt>
                <c:pt idx="9">
                  <c:v>0.85759745425616551</c:v>
                </c:pt>
                <c:pt idx="10">
                  <c:v>0.89578361177406518</c:v>
                </c:pt>
                <c:pt idx="11">
                  <c:v>0.9284009546539379</c:v>
                </c:pt>
                <c:pt idx="12">
                  <c:v>0.95863166268894195</c:v>
                </c:pt>
                <c:pt idx="13">
                  <c:v>0.9880668257756563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B-4167-9321-3C84C8D8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653872"/>
        <c:axId val="668653544"/>
      </c:lineChart>
      <c:catAx>
        <c:axId val="66921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669212944"/>
        <c:crosses val="autoZero"/>
        <c:auto val="1"/>
        <c:lblAlgn val="ctr"/>
        <c:lblOffset val="100"/>
        <c:noMultiLvlLbl val="0"/>
      </c:catAx>
      <c:valAx>
        <c:axId val="6692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669212616"/>
        <c:crosses val="autoZero"/>
        <c:crossBetween val="between"/>
      </c:valAx>
      <c:valAx>
        <c:axId val="66865354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668653872"/>
        <c:crosses val="max"/>
        <c:crossBetween val="between"/>
      </c:valAx>
      <c:catAx>
        <c:axId val="668653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86535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用户行为转化率之漏斗图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漏斗图!$B$10</c:f>
              <c:strCache>
                <c:ptCount val="1"/>
                <c:pt idx="0">
                  <c:v>辅助列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漏斗图!$A$11:$A$15</c:f>
              <c:strCache>
                <c:ptCount val="5"/>
                <c:pt idx="0">
                  <c:v>打开APP</c:v>
                </c:pt>
                <c:pt idx="1">
                  <c:v>浏览产品页</c:v>
                </c:pt>
                <c:pt idx="2">
                  <c:v>点击购买</c:v>
                </c:pt>
                <c:pt idx="3">
                  <c:v>点击付款</c:v>
                </c:pt>
                <c:pt idx="4">
                  <c:v>完成付款</c:v>
                </c:pt>
              </c:strCache>
            </c:strRef>
          </c:cat>
          <c:val>
            <c:numRef>
              <c:f>漏斗图!$B$11:$B$15</c:f>
              <c:numCache>
                <c:formatCode>General</c:formatCode>
                <c:ptCount val="5"/>
                <c:pt idx="0">
                  <c:v>0</c:v>
                </c:pt>
                <c:pt idx="1">
                  <c:v>800</c:v>
                </c:pt>
                <c:pt idx="2">
                  <c:v>2800</c:v>
                </c:pt>
                <c:pt idx="3">
                  <c:v>3200</c:v>
                </c:pt>
                <c:pt idx="4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D-4A67-8560-7D7AD848F381}"/>
            </c:ext>
          </c:extLst>
        </c:ser>
        <c:ser>
          <c:idx val="1"/>
          <c:order val="1"/>
          <c:tx>
            <c:strRef>
              <c:f>漏斗图!$C$10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漏斗图!$A$11:$A$15</c:f>
              <c:strCache>
                <c:ptCount val="5"/>
                <c:pt idx="0">
                  <c:v>打开APP</c:v>
                </c:pt>
                <c:pt idx="1">
                  <c:v>浏览产品页</c:v>
                </c:pt>
                <c:pt idx="2">
                  <c:v>点击购买</c:v>
                </c:pt>
                <c:pt idx="3">
                  <c:v>点击付款</c:v>
                </c:pt>
                <c:pt idx="4">
                  <c:v>完成付款</c:v>
                </c:pt>
              </c:strCache>
            </c:strRef>
          </c:cat>
          <c:val>
            <c:numRef>
              <c:f>漏斗图!$C$11:$C$15</c:f>
              <c:numCache>
                <c:formatCode>General</c:formatCode>
                <c:ptCount val="5"/>
                <c:pt idx="0">
                  <c:v>8000</c:v>
                </c:pt>
                <c:pt idx="1">
                  <c:v>6400</c:v>
                </c:pt>
                <c:pt idx="2">
                  <c:v>2400</c:v>
                </c:pt>
                <c:pt idx="3">
                  <c:v>1600</c:v>
                </c:pt>
                <c:pt idx="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D-4A67-8560-7D7AD848F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85243336"/>
        <c:axId val="385243664"/>
      </c:barChart>
      <c:catAx>
        <c:axId val="3852433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85243664"/>
        <c:crosses val="autoZero"/>
        <c:auto val="1"/>
        <c:lblAlgn val="ctr"/>
        <c:lblOffset val="100"/>
        <c:noMultiLvlLbl val="0"/>
      </c:catAx>
      <c:valAx>
        <c:axId val="385243664"/>
        <c:scaling>
          <c:orientation val="minMax"/>
          <c:max val="8200"/>
          <c:min val="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85243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760430839002266"/>
          <c:y val="0.22275396825396826"/>
          <c:w val="0.84631859410430854"/>
          <c:h val="0.6450555555555556"/>
        </c:manualLayout>
      </c:layout>
      <c:barChart>
        <c:barDir val="col"/>
        <c:grouping val="clustered"/>
        <c:varyColors val="0"/>
        <c:ser>
          <c:idx val="0"/>
          <c:order val="0"/>
          <c:tx>
            <c:v>产品销量之动态图表</c:v>
          </c:tx>
          <c:spPr>
            <a:solidFill>
              <a:srgbClr val="0033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[0]!标题</c:f>
              <c:strCache>
                <c:ptCount val="3"/>
                <c:pt idx="0">
                  <c:v>电器</c:v>
                </c:pt>
                <c:pt idx="1">
                  <c:v>服装</c:v>
                </c:pt>
                <c:pt idx="2">
                  <c:v>日用品</c:v>
                </c:pt>
              </c:strCache>
            </c:strRef>
          </c:cat>
          <c:val>
            <c:numRef>
              <c:f>[0]!业绩</c:f>
              <c:numCache>
                <c:formatCode>General</c:formatCode>
                <c:ptCount val="3"/>
                <c:pt idx="0">
                  <c:v>1285</c:v>
                </c:pt>
                <c:pt idx="1">
                  <c:v>450</c:v>
                </c:pt>
                <c:pt idx="2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56D-8F15-6D3BED841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656144"/>
        <c:axId val="489257736"/>
      </c:barChart>
      <c:catAx>
        <c:axId val="30965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89257736"/>
        <c:crosses val="autoZero"/>
        <c:auto val="1"/>
        <c:lblAlgn val="ctr"/>
        <c:lblOffset val="100"/>
        <c:noMultiLvlLbl val="0"/>
      </c:catAx>
      <c:valAx>
        <c:axId val="489257736"/>
        <c:scaling>
          <c:orientation val="minMax"/>
          <c:max val="18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0965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9293CAC9-BC60-46D0-9216-68A31819C65E}">
          <cx:tx>
            <cx:txData>
              <cx:f>_xlchart.v1.1</cx:f>
              <cx:v>GDP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1"/>
            </a:pPr>
            <a:r>
              <a:rPr lang="zh-CN" altLang="en-US" b="1"/>
              <a:t>全国销售额之旭日图</a:t>
            </a:r>
            <a:endParaRPr lang="zh-CN" b="1"/>
          </a:p>
        </cx:rich>
      </cx:tx>
    </cx:title>
    <cx:plotArea>
      <cx:plotAreaRegion>
        <cx:series layoutId="sunburst" uniqueId="{49F0D16C-1B7B-4CFD-A11D-B90649F28502}">
          <cx:tx>
            <cx:txData>
              <cx:f>_xlchart.v1.4</cx:f>
              <cx:v>销售额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 b="1"/>
              <a:t>学生成绩分布</a:t>
            </a:r>
            <a:endParaRPr lang="zh-CN" b="1"/>
          </a:p>
        </cx:rich>
      </cx:tx>
    </cx:title>
    <cx:plotArea>
      <cx:plotAreaRegion>
        <cx:series layoutId="clusteredColumn" uniqueId="{D08FBA4A-496E-4831-8733-68CC035F652C}">
          <cx:tx>
            <cx:txData>
              <cx:f>_xlchart.v1.7</cx:f>
              <cx:v>成绩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 b="1"/>
              <a:t>员工业绩之排列图</a:t>
            </a:r>
            <a:endParaRPr lang="zh-CN" b="1"/>
          </a:p>
        </cx:rich>
      </cx:tx>
    </cx:title>
    <cx:plotArea>
      <cx:plotAreaRegion>
        <cx:series layoutId="clusteredColumn" uniqueId="{F75FA918-FCF9-44EC-98B2-9A9103AE0036}">
          <cx:tx>
            <cx:txData>
              <cx:f>_xlchart.v1.10</cx:f>
              <cx:v>业绩</cx:v>
            </cx:txData>
          </cx:tx>
          <cx:dataId val="0"/>
          <cx:layoutPr>
            <cx:aggregation/>
          </cx:layoutPr>
          <cx:axisId val="1"/>
        </cx:series>
        <cx:series layoutId="paretoLine" ownerIdx="0" uniqueId="{21C7EED1-9F92-4C27-9B43-18CA382025F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zh-CN" altLang="zh-C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等线" panose="02010600030101010101" pitchFamily="2" charset="-122"/>
              </a:rPr>
              <a:t>客户消费金额之箱形图</a:t>
            </a:r>
            <a:endParaRPr lang="zh-CN" b="1"/>
          </a:p>
        </cx:rich>
      </cx:tx>
    </cx:title>
    <cx:plotArea>
      <cx:plotAreaRegion>
        <cx:series layoutId="boxWhisker" uniqueId="{45E31E2A-D9C6-4F2E-B4F1-D492A73E467E}">
          <cx:tx>
            <cx:txData>
              <cx:f>_xlchart.v1.13</cx:f>
              <cx:v>消费金额</cx:v>
            </cx:txData>
          </cx:tx>
          <cx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10" min="190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zh-C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等线" panose="02010600030101010101" pitchFamily="2" charset="-122"/>
              </a:rPr>
              <a:t>员工薪资之瀑布图</a:t>
            </a:r>
            <a:endParaRPr lang="zh-CN" b="1"/>
          </a:p>
        </cx:rich>
      </cx:tx>
    </cx:title>
    <cx:plotArea>
      <cx:plotAreaRegion>
        <cx:series layoutId="waterfall" uniqueId="{F54E3882-0891-45BC-813E-0802C1074D2A}">
          <cx:tx>
            <cx:txData>
              <cx:f>_xlchart.v1.16</cx:f>
              <cx:v>金额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4" dropStyle="combo" dx="22" fmlaLink="$F$2" fmlaRange="$A$3:$A$6" noThreeD="1" sel="3" val="0"/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1</xdr:row>
      <xdr:rowOff>95249</xdr:rowOff>
    </xdr:from>
    <xdr:to>
      <xdr:col>10</xdr:col>
      <xdr:colOff>266700</xdr:colOff>
      <xdr:row>16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4" y="285749"/>
              <a:ext cx="5438776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38100</xdr:rowOff>
    </xdr:from>
    <xdr:to>
      <xdr:col>10</xdr:col>
      <xdr:colOff>171450</xdr:colOff>
      <xdr:row>15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7950" y="228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314326</xdr:colOff>
      <xdr:row>1</xdr:row>
      <xdr:rowOff>28577</xdr:rowOff>
    </xdr:from>
    <xdr:to>
      <xdr:col>7</xdr:col>
      <xdr:colOff>438151</xdr:colOff>
      <xdr:row>12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9276" y="219077"/>
              <a:ext cx="3619500" cy="2124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19049</xdr:rowOff>
    </xdr:from>
    <xdr:to>
      <xdr:col>9</xdr:col>
      <xdr:colOff>495300</xdr:colOff>
      <xdr:row>15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775" y="209549"/>
              <a:ext cx="5038725" cy="2667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138111</xdr:colOff>
      <xdr:row>1</xdr:row>
      <xdr:rowOff>14285</xdr:rowOff>
    </xdr:from>
    <xdr:to>
      <xdr:col>11</xdr:col>
      <xdr:colOff>295274</xdr:colOff>
      <xdr:row>16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19050</xdr:rowOff>
    </xdr:from>
    <xdr:to>
      <xdr:col>9</xdr:col>
      <xdr:colOff>66675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" y="209550"/>
              <a:ext cx="4572000" cy="257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28575</xdr:rowOff>
    </xdr:from>
    <xdr:to>
      <xdr:col>9</xdr:col>
      <xdr:colOff>47625</xdr:colOff>
      <xdr:row>15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7825" y="219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119060</xdr:colOff>
      <xdr:row>1</xdr:row>
      <xdr:rowOff>19050</xdr:rowOff>
    </xdr:from>
    <xdr:to>
      <xdr:col>11</xdr:col>
      <xdr:colOff>85725</xdr:colOff>
      <xdr:row>15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66675</xdr:rowOff>
    </xdr:from>
    <xdr:to>
      <xdr:col>1</xdr:col>
      <xdr:colOff>476250</xdr:colOff>
      <xdr:row>8</xdr:row>
      <xdr:rowOff>142875</xdr:rowOff>
    </xdr:to>
    <xdr:sp macro="" textlink="">
      <xdr:nvSpPr>
        <xdr:cNvPr id="3" name="箭头: 下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33425" y="1400175"/>
          <a:ext cx="47625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1</xdr:row>
      <xdr:rowOff>9525</xdr:rowOff>
    </xdr:from>
    <xdr:to>
      <xdr:col>11</xdr:col>
      <xdr:colOff>114300</xdr:colOff>
      <xdr:row>16</xdr:row>
      <xdr:rowOff>28575</xdr:rowOff>
    </xdr:to>
    <xdr:pic>
      <xdr:nvPicPr>
        <xdr:cNvPr id="4" name="图片 3" descr="C:\Users\ADMINI~1\AppData\Local\Temp\WeChat Files\4d2545dd47337f4c4b65d1120225c9c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200025"/>
          <a:ext cx="5267325" cy="2876550"/>
        </a:xfrm>
        <a:prstGeom prst="rect">
          <a:avLst/>
        </a:prstGeom>
        <a:noFill/>
        <a:ln w="6350"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2</xdr:row>
      <xdr:rowOff>109536</xdr:rowOff>
    </xdr:from>
    <xdr:to>
      <xdr:col>11</xdr:col>
      <xdr:colOff>395212</xdr:colOff>
      <xdr:row>15</xdr:row>
      <xdr:rowOff>153036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481262" y="490536"/>
          <a:ext cx="4410000" cy="2520000"/>
          <a:chOff x="2395537" y="519111"/>
          <a:chExt cx="4410000" cy="252000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900-000002000000}"/>
              </a:ext>
            </a:extLst>
          </xdr:cNvPr>
          <xdr:cNvGraphicFramePr/>
        </xdr:nvGraphicFramePr>
        <xdr:xfrm>
          <a:off x="2395537" y="519111"/>
          <a:ext cx="4410000" cy="252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5601" name="Drop Down 1" hidden="1">
                <a:extLst>
                  <a:ext uri="{63B3BB69-23CF-44E3-9099-C40C66FF867C}">
                    <a14:compatExt spid="_x0000_s25601"/>
                  </a:ext>
                  <a:ext uri="{FF2B5EF4-FFF2-40B4-BE49-F238E27FC236}">
                    <a16:creationId xmlns:a16="http://schemas.microsoft.com/office/drawing/2014/main" id="{00000000-0008-0000-0900-000001640000}"/>
                  </a:ext>
                </a:extLst>
              </xdr:cNvPr>
              <xdr:cNvSpPr/>
            </xdr:nvSpPr>
            <xdr:spPr bwMode="auto">
              <a:xfrm>
                <a:off x="5810250" y="609599"/>
                <a:ext cx="857250" cy="3524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9292;&#22270;-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320;&#22270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446;&#24405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饼图-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地图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2:B33"/>
  <sheetViews>
    <sheetView showGridLines="0" tabSelected="1" workbookViewId="0">
      <selection activeCell="B10" sqref="B10"/>
    </sheetView>
  </sheetViews>
  <sheetFormatPr defaultRowHeight="15" customHeight="1"/>
  <cols>
    <col min="1" max="1" width="10.25" style="8" bestFit="1" customWidth="1"/>
    <col min="2" max="2" width="10.5" style="8" bestFit="1" customWidth="1"/>
    <col min="3" max="16384" width="9" style="8"/>
  </cols>
  <sheetData>
    <row r="2" spans="1:2" ht="15" customHeight="1">
      <c r="A2" s="11" t="s">
        <v>16</v>
      </c>
      <c r="B2" s="11" t="s">
        <v>74</v>
      </c>
    </row>
    <row r="3" spans="1:2" ht="15" customHeight="1">
      <c r="A3" s="12" t="s">
        <v>26</v>
      </c>
      <c r="B3" s="13">
        <v>147715</v>
      </c>
    </row>
    <row r="4" spans="1:2" ht="15" customHeight="1">
      <c r="A4" s="12" t="s">
        <v>27</v>
      </c>
      <c r="B4" s="13">
        <v>140581</v>
      </c>
    </row>
    <row r="5" spans="1:2" ht="15" customHeight="1">
      <c r="A5" s="12" t="s">
        <v>28</v>
      </c>
      <c r="B5" s="13">
        <v>131320</v>
      </c>
    </row>
    <row r="6" spans="1:2" ht="15" customHeight="1">
      <c r="A6" s="12" t="s">
        <v>29</v>
      </c>
      <c r="B6" s="13">
        <v>87980</v>
      </c>
    </row>
    <row r="7" spans="1:2" ht="15" customHeight="1">
      <c r="A7" s="12" t="s">
        <v>30</v>
      </c>
      <c r="B7" s="13">
        <v>77223</v>
      </c>
    </row>
    <row r="8" spans="1:2" ht="15" customHeight="1">
      <c r="A8" s="12" t="s">
        <v>31</v>
      </c>
      <c r="B8" s="13">
        <v>67715</v>
      </c>
    </row>
    <row r="9" spans="1:2" ht="15" customHeight="1">
      <c r="A9" s="12" t="s">
        <v>32</v>
      </c>
      <c r="B9" s="13">
        <v>63973</v>
      </c>
    </row>
    <row r="10" spans="1:2" ht="15" customHeight="1">
      <c r="A10" s="12" t="s">
        <v>33</v>
      </c>
      <c r="B10" s="13">
        <v>62492</v>
      </c>
    </row>
    <row r="11" spans="1:2" ht="15" customHeight="1">
      <c r="A11" s="12" t="s">
        <v>34</v>
      </c>
      <c r="B11" s="13">
        <v>57417</v>
      </c>
    </row>
    <row r="12" spans="1:2" ht="15" customHeight="1">
      <c r="A12" s="12" t="s">
        <v>35</v>
      </c>
      <c r="B12" s="13">
        <v>56997</v>
      </c>
    </row>
    <row r="13" spans="1:2" ht="15" customHeight="1">
      <c r="A13" s="12" t="s">
        <v>17</v>
      </c>
      <c r="B13" s="13">
        <v>52183</v>
      </c>
    </row>
    <row r="14" spans="1:2" ht="15" customHeight="1">
      <c r="A14" s="12" t="s">
        <v>36</v>
      </c>
      <c r="B14" s="13">
        <v>48216</v>
      </c>
    </row>
    <row r="15" spans="1:2" ht="15" customHeight="1">
      <c r="A15" s="12" t="s">
        <v>18</v>
      </c>
      <c r="B15" s="13">
        <v>46481</v>
      </c>
    </row>
    <row r="16" spans="1:2" ht="15" customHeight="1">
      <c r="A16" s="12" t="s">
        <v>37</v>
      </c>
      <c r="B16" s="13">
        <v>44896</v>
      </c>
    </row>
    <row r="17" spans="1:2" ht="15" customHeight="1">
      <c r="A17" s="12" t="s">
        <v>19</v>
      </c>
      <c r="B17" s="13">
        <v>38202</v>
      </c>
    </row>
    <row r="18" spans="1:2" ht="15" customHeight="1">
      <c r="A18" s="12" t="s">
        <v>38</v>
      </c>
      <c r="B18" s="13">
        <v>36471</v>
      </c>
    </row>
    <row r="19" spans="1:2" ht="15" customHeight="1">
      <c r="A19" s="12" t="s">
        <v>21</v>
      </c>
      <c r="B19" s="13">
        <v>34088</v>
      </c>
    </row>
    <row r="20" spans="1:2" ht="15" customHeight="1">
      <c r="A20" s="12" t="s">
        <v>40</v>
      </c>
      <c r="B20" s="13">
        <v>32827</v>
      </c>
    </row>
    <row r="21" spans="1:2" ht="15" customHeight="1">
      <c r="A21" s="12" t="s">
        <v>20</v>
      </c>
      <c r="B21" s="13">
        <v>31974</v>
      </c>
    </row>
    <row r="22" spans="1:2" ht="15" customHeight="1">
      <c r="A22" s="12" t="s">
        <v>39</v>
      </c>
      <c r="B22" s="13">
        <v>31286</v>
      </c>
    </row>
    <row r="23" spans="1:2" ht="15" customHeight="1">
      <c r="A23" s="12" t="s">
        <v>42</v>
      </c>
      <c r="B23" s="13">
        <v>30258</v>
      </c>
    </row>
    <row r="24" spans="1:2" ht="15" customHeight="1">
      <c r="A24" s="12" t="s">
        <v>22</v>
      </c>
      <c r="B24" s="13">
        <v>29861</v>
      </c>
    </row>
    <row r="25" spans="1:2" ht="15" customHeight="1">
      <c r="A25" s="12" t="s">
        <v>41</v>
      </c>
      <c r="B25" s="13">
        <v>27971</v>
      </c>
    </row>
    <row r="26" spans="1:2" ht="15" customHeight="1">
      <c r="A26" s="12" t="s">
        <v>43</v>
      </c>
      <c r="B26" s="13">
        <v>26168</v>
      </c>
    </row>
    <row r="27" spans="1:2" ht="15" customHeight="1">
      <c r="A27" s="12" t="s">
        <v>23</v>
      </c>
      <c r="B27" s="13">
        <v>17739</v>
      </c>
    </row>
    <row r="28" spans="1:2" ht="15" customHeight="1">
      <c r="A28" s="12" t="s">
        <v>44</v>
      </c>
      <c r="B28" s="13">
        <v>17600</v>
      </c>
    </row>
    <row r="29" spans="1:2" ht="15" customHeight="1">
      <c r="A29" s="12" t="s">
        <v>45</v>
      </c>
      <c r="B29" s="13">
        <v>13843</v>
      </c>
    </row>
    <row r="30" spans="1:2" ht="15" customHeight="1">
      <c r="A30" s="12" t="s">
        <v>46</v>
      </c>
      <c r="B30" s="12">
        <v>7624</v>
      </c>
    </row>
    <row r="31" spans="1:2" ht="15" customHeight="1">
      <c r="A31" s="12" t="s">
        <v>24</v>
      </c>
      <c r="B31" s="12">
        <v>5747</v>
      </c>
    </row>
    <row r="32" spans="1:2" ht="15" customHeight="1">
      <c r="A32" s="12" t="s">
        <v>47</v>
      </c>
      <c r="B32" s="12">
        <v>4779</v>
      </c>
    </row>
    <row r="33" spans="1:2" ht="15" customHeight="1">
      <c r="A33" s="12" t="s">
        <v>25</v>
      </c>
      <c r="B33" s="12">
        <v>1867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tabColor rgb="FF92D050"/>
  </sheetPr>
  <dimension ref="A1:T23"/>
  <sheetViews>
    <sheetView showGridLines="0" workbookViewId="0">
      <selection activeCell="C9" sqref="C9"/>
    </sheetView>
  </sheetViews>
  <sheetFormatPr defaultRowHeight="15" customHeight="1"/>
  <cols>
    <col min="1" max="4" width="7.625" style="16" customWidth="1"/>
    <col min="5" max="5" width="17" style="16" customWidth="1"/>
    <col min="6" max="16384" width="9" style="16"/>
  </cols>
  <sheetData>
    <row r="1" spans="1:20" ht="15" customHeight="1">
      <c r="L1" s="52" t="s">
        <v>79</v>
      </c>
      <c r="M1" s="52"/>
      <c r="N1" s="52"/>
      <c r="O1" s="52"/>
      <c r="P1" s="52"/>
      <c r="Q1" s="52"/>
      <c r="R1" s="52"/>
      <c r="S1" s="52"/>
      <c r="T1" s="52"/>
    </row>
    <row r="2" spans="1:20" ht="15" customHeight="1">
      <c r="A2" s="7" t="s">
        <v>48</v>
      </c>
      <c r="B2" s="7" t="s">
        <v>49</v>
      </c>
      <c r="C2" s="7" t="s">
        <v>50</v>
      </c>
      <c r="D2" s="17" t="s">
        <v>51</v>
      </c>
      <c r="E2" s="18"/>
      <c r="S2" s="8"/>
    </row>
    <row r="3" spans="1:20" ht="15" customHeight="1">
      <c r="A3" s="14">
        <v>1</v>
      </c>
      <c r="B3" s="14" t="s">
        <v>52</v>
      </c>
      <c r="C3" s="14"/>
      <c r="D3" s="19">
        <v>5.4</v>
      </c>
      <c r="E3" s="18"/>
      <c r="S3" s="8"/>
    </row>
    <row r="4" spans="1:20" ht="15" customHeight="1">
      <c r="A4" s="14"/>
      <c r="B4" s="14" t="s">
        <v>53</v>
      </c>
      <c r="C4" s="14"/>
      <c r="D4" s="19">
        <v>5</v>
      </c>
      <c r="E4" s="18"/>
    </row>
    <row r="5" spans="1:20" ht="15" customHeight="1">
      <c r="A5" s="14"/>
      <c r="B5" s="14" t="s">
        <v>54</v>
      </c>
      <c r="C5" s="14"/>
      <c r="D5" s="19">
        <v>3.4</v>
      </c>
      <c r="E5" s="18"/>
    </row>
    <row r="6" spans="1:20" ht="15" customHeight="1">
      <c r="A6" s="14">
        <v>2</v>
      </c>
      <c r="B6" s="14" t="s">
        <v>7</v>
      </c>
      <c r="C6" s="14" t="s">
        <v>75</v>
      </c>
      <c r="D6" s="19">
        <v>5</v>
      </c>
      <c r="E6" s="18"/>
    </row>
    <row r="7" spans="1:20" ht="15" customHeight="1">
      <c r="A7" s="14"/>
      <c r="B7" s="14"/>
      <c r="C7" s="14" t="s">
        <v>76</v>
      </c>
      <c r="D7" s="19">
        <v>4</v>
      </c>
      <c r="E7" s="18"/>
    </row>
    <row r="8" spans="1:20" ht="15" customHeight="1">
      <c r="A8" s="14"/>
      <c r="B8" s="20"/>
      <c r="C8" s="14" t="s">
        <v>77</v>
      </c>
      <c r="D8" s="19">
        <v>3.1</v>
      </c>
    </row>
    <row r="9" spans="1:20" ht="15" customHeight="1">
      <c r="A9" s="20"/>
      <c r="B9" s="20"/>
      <c r="C9" s="14" t="s">
        <v>78</v>
      </c>
      <c r="D9" s="19">
        <v>3</v>
      </c>
    </row>
    <row r="10" spans="1:20" ht="15" customHeight="1">
      <c r="A10" s="14"/>
      <c r="B10" s="14" t="s">
        <v>8</v>
      </c>
      <c r="C10" s="14"/>
      <c r="D10" s="19">
        <v>8.8000000000000007</v>
      </c>
    </row>
    <row r="11" spans="1:20" ht="15" customHeight="1">
      <c r="A11" s="14"/>
      <c r="B11" s="14" t="s">
        <v>9</v>
      </c>
      <c r="C11" s="14"/>
      <c r="D11" s="19">
        <v>1.2</v>
      </c>
    </row>
    <row r="12" spans="1:20" ht="15" customHeight="1">
      <c r="A12" s="14">
        <v>3</v>
      </c>
      <c r="B12" s="14" t="s">
        <v>10</v>
      </c>
      <c r="C12" s="14"/>
      <c r="D12" s="19">
        <v>3.3</v>
      </c>
    </row>
    <row r="13" spans="1:20" ht="15" customHeight="1">
      <c r="A13" s="14"/>
      <c r="B13" s="14" t="s">
        <v>11</v>
      </c>
      <c r="C13" s="14"/>
      <c r="D13" s="19">
        <v>7.9</v>
      </c>
    </row>
    <row r="14" spans="1:20" ht="15" customHeight="1">
      <c r="A14" s="14"/>
      <c r="B14" s="14" t="s">
        <v>12</v>
      </c>
      <c r="C14" s="14"/>
      <c r="D14" s="19">
        <v>5.4</v>
      </c>
    </row>
    <row r="15" spans="1:20" ht="15" customHeight="1">
      <c r="A15" s="14">
        <v>4</v>
      </c>
      <c r="B15" s="14" t="s">
        <v>13</v>
      </c>
      <c r="C15" s="14"/>
      <c r="D15" s="19">
        <v>4.4000000000000004</v>
      </c>
    </row>
    <row r="16" spans="1:20" ht="15" customHeight="1">
      <c r="A16" s="14"/>
      <c r="B16" s="14" t="s">
        <v>14</v>
      </c>
      <c r="C16" s="14"/>
      <c r="D16" s="19">
        <v>7.5</v>
      </c>
    </row>
    <row r="17" spans="1:4" ht="15" customHeight="1">
      <c r="A17" s="14"/>
      <c r="B17" s="14" t="s">
        <v>15</v>
      </c>
      <c r="C17" s="14"/>
      <c r="D17" s="19">
        <v>2.8</v>
      </c>
    </row>
    <row r="19" spans="1:4" ht="15" customHeight="1">
      <c r="A19" s="18"/>
      <c r="B19" s="18"/>
      <c r="C19" s="18"/>
      <c r="D19" s="18"/>
    </row>
    <row r="20" spans="1:4" ht="15" customHeight="1">
      <c r="A20" s="18"/>
      <c r="B20" s="18"/>
      <c r="C20" s="18"/>
      <c r="D20" s="18"/>
    </row>
    <row r="21" spans="1:4" ht="15" customHeight="1">
      <c r="A21" s="18"/>
      <c r="B21" s="18"/>
      <c r="C21" s="18"/>
      <c r="D21" s="18"/>
    </row>
    <row r="22" spans="1:4" ht="15" customHeight="1">
      <c r="A22" s="18"/>
      <c r="B22" s="18"/>
      <c r="C22" s="18"/>
      <c r="D22" s="18"/>
    </row>
    <row r="23" spans="1:4" ht="15" customHeight="1">
      <c r="A23" s="18"/>
      <c r="B23" s="18"/>
      <c r="C23" s="18"/>
      <c r="D23" s="18"/>
    </row>
  </sheetData>
  <mergeCells count="1">
    <mergeCell ref="L1:T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A1:Q44"/>
  <sheetViews>
    <sheetView showGridLines="0" workbookViewId="0">
      <selection activeCell="H25" sqref="H25"/>
    </sheetView>
  </sheetViews>
  <sheetFormatPr defaultRowHeight="15" customHeight="1"/>
  <cols>
    <col min="1" max="1" width="9.875" style="8" customWidth="1"/>
    <col min="2" max="2" width="9.875" style="21" customWidth="1"/>
    <col min="3" max="3" width="8.75" style="4" customWidth="1"/>
    <col min="4" max="6" width="9.125" bestFit="1" customWidth="1"/>
    <col min="7" max="7" width="9.75" customWidth="1"/>
  </cols>
  <sheetData>
    <row r="1" spans="1:17" s="2" customFormat="1" ht="15" customHeight="1">
      <c r="A1" s="8"/>
      <c r="B1" s="21"/>
      <c r="C1" s="4"/>
    </row>
    <row r="2" spans="1:17" ht="15" customHeight="1">
      <c r="A2" s="7" t="s">
        <v>80</v>
      </c>
      <c r="B2" s="22" t="s">
        <v>102</v>
      </c>
      <c r="C2" s="3"/>
    </row>
    <row r="3" spans="1:17" ht="15" customHeight="1">
      <c r="A3" s="10" t="s">
        <v>81</v>
      </c>
      <c r="B3" s="23">
        <v>61</v>
      </c>
      <c r="C3" s="3"/>
      <c r="Q3" s="1"/>
    </row>
    <row r="4" spans="1:17" ht="15" customHeight="1">
      <c r="A4" s="10" t="s">
        <v>82</v>
      </c>
      <c r="B4" s="23">
        <v>36</v>
      </c>
      <c r="C4" s="3"/>
      <c r="Q4" s="1"/>
    </row>
    <row r="5" spans="1:17" ht="15" customHeight="1">
      <c r="A5" s="10" t="s">
        <v>83</v>
      </c>
      <c r="B5" s="23">
        <v>41</v>
      </c>
      <c r="C5" s="3"/>
    </row>
    <row r="6" spans="1:17" ht="15" customHeight="1">
      <c r="A6" s="10" t="s">
        <v>84</v>
      </c>
      <c r="B6" s="23">
        <v>20</v>
      </c>
      <c r="C6" s="3"/>
    </row>
    <row r="7" spans="1:17" ht="15" customHeight="1">
      <c r="A7" s="10" t="s">
        <v>85</v>
      </c>
      <c r="B7" s="23">
        <v>91</v>
      </c>
      <c r="C7" s="3"/>
    </row>
    <row r="8" spans="1:17" ht="15" customHeight="1">
      <c r="A8" s="10" t="s">
        <v>86</v>
      </c>
      <c r="B8" s="23">
        <v>100</v>
      </c>
      <c r="C8" s="3"/>
    </row>
    <row r="9" spans="1:17" ht="15" customHeight="1">
      <c r="A9" s="10" t="s">
        <v>87</v>
      </c>
      <c r="B9" s="23">
        <v>85</v>
      </c>
      <c r="C9" s="3"/>
    </row>
    <row r="10" spans="1:17" ht="15" customHeight="1">
      <c r="A10" s="10" t="s">
        <v>88</v>
      </c>
      <c r="B10" s="23">
        <v>76</v>
      </c>
      <c r="C10" s="3"/>
    </row>
    <row r="11" spans="1:17" ht="15" customHeight="1">
      <c r="A11" s="10" t="s">
        <v>89</v>
      </c>
      <c r="B11" s="23">
        <v>79</v>
      </c>
      <c r="C11" s="3"/>
    </row>
    <row r="12" spans="1:17" ht="15" customHeight="1">
      <c r="A12" s="10" t="s">
        <v>90</v>
      </c>
      <c r="B12" s="23">
        <v>80</v>
      </c>
      <c r="C12" s="3"/>
    </row>
    <row r="13" spans="1:17" ht="15" customHeight="1">
      <c r="A13" s="10" t="s">
        <v>91</v>
      </c>
      <c r="B13" s="23">
        <v>80</v>
      </c>
      <c r="C13" s="3"/>
    </row>
    <row r="14" spans="1:17" ht="15" customHeight="1">
      <c r="A14" s="10" t="s">
        <v>92</v>
      </c>
      <c r="B14" s="23">
        <v>84</v>
      </c>
      <c r="C14" s="3"/>
    </row>
    <row r="15" spans="1:17" ht="15" customHeight="1">
      <c r="A15" s="10" t="s">
        <v>93</v>
      </c>
      <c r="B15" s="23">
        <v>69</v>
      </c>
      <c r="C15" s="3"/>
    </row>
    <row r="16" spans="1:17" ht="15" customHeight="1">
      <c r="A16" s="10" t="s">
        <v>94</v>
      </c>
      <c r="B16" s="23">
        <v>55</v>
      </c>
      <c r="C16" s="3"/>
    </row>
    <row r="17" spans="1:3" ht="15" customHeight="1">
      <c r="A17" s="10" t="s">
        <v>95</v>
      </c>
      <c r="B17" s="23">
        <v>74</v>
      </c>
      <c r="C17" s="3"/>
    </row>
    <row r="18" spans="1:3" ht="15" customHeight="1">
      <c r="A18" s="10" t="s">
        <v>96</v>
      </c>
      <c r="B18" s="23">
        <v>44</v>
      </c>
      <c r="C18" s="3"/>
    </row>
    <row r="19" spans="1:3" ht="15" customHeight="1">
      <c r="A19" s="10" t="s">
        <v>97</v>
      </c>
      <c r="B19" s="23">
        <v>73</v>
      </c>
      <c r="C19" s="3"/>
    </row>
    <row r="20" spans="1:3" ht="15" customHeight="1">
      <c r="A20" s="10" t="s">
        <v>98</v>
      </c>
      <c r="B20" s="23">
        <v>39</v>
      </c>
      <c r="C20" s="3"/>
    </row>
    <row r="21" spans="1:3" ht="15" customHeight="1">
      <c r="A21" s="10" t="s">
        <v>99</v>
      </c>
      <c r="B21" s="23">
        <v>72</v>
      </c>
      <c r="C21" s="3"/>
    </row>
    <row r="22" spans="1:3" ht="15" customHeight="1">
      <c r="A22" s="10" t="s">
        <v>100</v>
      </c>
      <c r="B22" s="23">
        <v>94</v>
      </c>
      <c r="C22" s="3"/>
    </row>
    <row r="23" spans="1:3" ht="15" customHeight="1">
      <c r="A23" s="24"/>
      <c r="B23" s="25"/>
      <c r="C23" s="3"/>
    </row>
    <row r="24" spans="1:3" ht="15" customHeight="1">
      <c r="A24" s="24"/>
      <c r="B24" s="25"/>
      <c r="C24" s="3"/>
    </row>
    <row r="25" spans="1:3" ht="15" customHeight="1">
      <c r="A25" s="24"/>
      <c r="B25" s="25"/>
      <c r="C25" s="3"/>
    </row>
    <row r="26" spans="1:3" ht="15" customHeight="1">
      <c r="A26" s="24"/>
      <c r="B26" s="25"/>
      <c r="C26" s="3"/>
    </row>
    <row r="27" spans="1:3" ht="15" customHeight="1">
      <c r="B27" s="8"/>
      <c r="C27" s="2"/>
    </row>
    <row r="28" spans="1:3" ht="15" customHeight="1">
      <c r="B28" s="8"/>
      <c r="C28" s="2"/>
    </row>
    <row r="29" spans="1:3" ht="15" customHeight="1">
      <c r="B29" s="8"/>
      <c r="C29" s="2"/>
    </row>
    <row r="30" spans="1:3" ht="15" customHeight="1">
      <c r="B30" s="8"/>
      <c r="C30" s="2"/>
    </row>
    <row r="31" spans="1:3" ht="15" customHeight="1">
      <c r="B31" s="8"/>
      <c r="C31" s="2"/>
    </row>
    <row r="32" spans="1:3" ht="15" customHeight="1">
      <c r="B32" s="8"/>
      <c r="C32" s="2"/>
    </row>
    <row r="33" spans="2:3" ht="15" customHeight="1">
      <c r="B33" s="8"/>
      <c r="C33" s="2"/>
    </row>
    <row r="34" spans="2:3" ht="15" customHeight="1">
      <c r="B34" s="8"/>
      <c r="C34" s="2"/>
    </row>
    <row r="35" spans="2:3" ht="15" customHeight="1">
      <c r="B35" s="8"/>
      <c r="C35" s="2"/>
    </row>
    <row r="36" spans="2:3" ht="15" customHeight="1">
      <c r="B36" s="8"/>
      <c r="C36" s="2"/>
    </row>
    <row r="37" spans="2:3" ht="15" customHeight="1">
      <c r="B37" s="8"/>
      <c r="C37" s="2"/>
    </row>
    <row r="38" spans="2:3" ht="15" customHeight="1">
      <c r="B38" s="8"/>
      <c r="C38" s="2"/>
    </row>
    <row r="39" spans="2:3" ht="15" customHeight="1">
      <c r="B39" s="8"/>
      <c r="C39" s="2"/>
    </row>
    <row r="40" spans="2:3" ht="15" customHeight="1">
      <c r="B40" s="8"/>
      <c r="C40" s="2"/>
    </row>
    <row r="41" spans="2:3" ht="15" customHeight="1">
      <c r="B41" s="8"/>
      <c r="C41" s="2"/>
    </row>
    <row r="42" spans="2:3" ht="15" customHeight="1">
      <c r="B42" s="8"/>
      <c r="C42" s="2"/>
    </row>
    <row r="43" spans="2:3" ht="15" customHeight="1">
      <c r="B43" s="8"/>
      <c r="C43" s="2"/>
    </row>
    <row r="44" spans="2:3" ht="15" customHeight="1">
      <c r="B44" s="8"/>
      <c r="C44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5">
    <tabColor rgb="FF92D050"/>
  </sheetPr>
  <dimension ref="A2:E17"/>
  <sheetViews>
    <sheetView showGridLines="0" workbookViewId="0">
      <selection activeCell="C9" sqref="C9"/>
    </sheetView>
  </sheetViews>
  <sheetFormatPr defaultRowHeight="15" customHeight="1"/>
  <cols>
    <col min="1" max="2" width="9" style="18" customWidth="1"/>
    <col min="3" max="5" width="9" style="16"/>
    <col min="6" max="16384" width="9" style="26"/>
  </cols>
  <sheetData>
    <row r="2" spans="1:2" ht="15" customHeight="1">
      <c r="A2" s="7" t="s">
        <v>103</v>
      </c>
      <c r="B2" s="7" t="s">
        <v>101</v>
      </c>
    </row>
    <row r="3" spans="1:2" ht="15" customHeight="1">
      <c r="A3" s="14" t="s">
        <v>104</v>
      </c>
      <c r="B3" s="14">
        <v>150</v>
      </c>
    </row>
    <row r="4" spans="1:2" ht="15" customHeight="1">
      <c r="A4" s="14" t="s">
        <v>105</v>
      </c>
      <c r="B4" s="14">
        <v>15</v>
      </c>
    </row>
    <row r="5" spans="1:2" ht="15" customHeight="1">
      <c r="A5" s="14" t="s">
        <v>106</v>
      </c>
      <c r="B5" s="14">
        <v>54</v>
      </c>
    </row>
    <row r="6" spans="1:2" ht="15" customHeight="1">
      <c r="A6" s="14" t="s">
        <v>107</v>
      </c>
      <c r="B6" s="14">
        <v>37</v>
      </c>
    </row>
    <row r="7" spans="1:2" ht="15" customHeight="1">
      <c r="A7" s="14" t="s">
        <v>108</v>
      </c>
      <c r="B7" s="14">
        <v>75</v>
      </c>
    </row>
    <row r="8" spans="1:2" ht="15" customHeight="1">
      <c r="A8" s="14" t="s">
        <v>109</v>
      </c>
      <c r="B8" s="14">
        <v>185</v>
      </c>
    </row>
    <row r="9" spans="1:2" ht="15" customHeight="1">
      <c r="A9" s="14" t="s">
        <v>110</v>
      </c>
      <c r="B9" s="14">
        <v>72</v>
      </c>
    </row>
    <row r="10" spans="1:2" ht="15" customHeight="1">
      <c r="A10" s="14" t="s">
        <v>111</v>
      </c>
      <c r="B10" s="14">
        <v>41</v>
      </c>
    </row>
    <row r="11" spans="1:2" ht="15" customHeight="1">
      <c r="A11" s="14" t="s">
        <v>112</v>
      </c>
      <c r="B11" s="14">
        <v>147</v>
      </c>
    </row>
    <row r="12" spans="1:2" ht="15" customHeight="1">
      <c r="A12" s="14" t="s">
        <v>113</v>
      </c>
      <c r="B12" s="14">
        <v>66</v>
      </c>
    </row>
    <row r="13" spans="1:2" ht="15" customHeight="1">
      <c r="A13" s="14" t="s">
        <v>114</v>
      </c>
      <c r="B13" s="14">
        <v>82</v>
      </c>
    </row>
    <row r="14" spans="1:2" ht="15" customHeight="1">
      <c r="A14" s="14" t="s">
        <v>115</v>
      </c>
      <c r="B14" s="14">
        <v>176</v>
      </c>
    </row>
    <row r="15" spans="1:2" ht="15" customHeight="1">
      <c r="A15" s="14" t="s">
        <v>116</v>
      </c>
      <c r="B15" s="14">
        <v>48</v>
      </c>
    </row>
    <row r="16" spans="1:2" ht="15" customHeight="1">
      <c r="A16" s="14" t="s">
        <v>117</v>
      </c>
      <c r="B16" s="14">
        <v>71</v>
      </c>
    </row>
    <row r="17" spans="1:2" ht="15" customHeight="1">
      <c r="A17" s="14" t="s">
        <v>118</v>
      </c>
      <c r="B17" s="14">
        <v>38</v>
      </c>
    </row>
  </sheetData>
  <sortState ref="K3:L17">
    <sortCondition descending="1" ref="L3:L17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6">
    <tabColor rgb="FF92D050"/>
  </sheetPr>
  <dimension ref="A2:D18"/>
  <sheetViews>
    <sheetView showGridLines="0" workbookViewId="0">
      <selection activeCell="C9" sqref="C9"/>
    </sheetView>
  </sheetViews>
  <sheetFormatPr defaultRowHeight="15" customHeight="1"/>
  <cols>
    <col min="1" max="2" width="9" style="8"/>
    <col min="3" max="3" width="12.25" style="8" bestFit="1" customWidth="1"/>
    <col min="4" max="4" width="9" style="8"/>
  </cols>
  <sheetData>
    <row r="2" spans="1:3" ht="15" customHeight="1">
      <c r="A2" s="7" t="s">
        <v>103</v>
      </c>
      <c r="B2" s="7" t="s">
        <v>101</v>
      </c>
      <c r="C2" s="27" t="s">
        <v>119</v>
      </c>
    </row>
    <row r="3" spans="1:3" ht="15" customHeight="1">
      <c r="A3" s="15" t="s">
        <v>109</v>
      </c>
      <c r="B3" s="15">
        <v>185</v>
      </c>
      <c r="C3" s="29">
        <f>SUM($B$3:B3)/SUM(B$2:B$17)</f>
        <v>0.147175815433572</v>
      </c>
    </row>
    <row r="4" spans="1:3" ht="15" customHeight="1">
      <c r="A4" s="15" t="s">
        <v>115</v>
      </c>
      <c r="B4" s="15">
        <v>176</v>
      </c>
      <c r="C4" s="29">
        <f>SUM($B$3:B4)/SUM(B$2:B$17)</f>
        <v>0.28719172633253781</v>
      </c>
    </row>
    <row r="5" spans="1:3" ht="15" customHeight="1">
      <c r="A5" s="15" t="s">
        <v>104</v>
      </c>
      <c r="B5" s="15">
        <v>150</v>
      </c>
      <c r="C5" s="29">
        <f>SUM($B$3:B5)/SUM(B$2:B$17)</f>
        <v>0.40652346857597454</v>
      </c>
    </row>
    <row r="6" spans="1:3" ht="15" customHeight="1">
      <c r="A6" s="15" t="s">
        <v>112</v>
      </c>
      <c r="B6" s="15">
        <v>147</v>
      </c>
      <c r="C6" s="29">
        <f>SUM($B$3:B6)/SUM(B$2:B$17)</f>
        <v>0.52346857597454255</v>
      </c>
    </row>
    <row r="7" spans="1:3" ht="15" customHeight="1">
      <c r="A7" s="15" t="s">
        <v>114</v>
      </c>
      <c r="B7" s="15">
        <v>82</v>
      </c>
      <c r="C7" s="29">
        <f>SUM($B$3:B7)/SUM(B$2:B$17)</f>
        <v>0.588703261734288</v>
      </c>
    </row>
    <row r="8" spans="1:3" ht="15" customHeight="1">
      <c r="A8" s="15" t="s">
        <v>108</v>
      </c>
      <c r="B8" s="15">
        <v>75</v>
      </c>
      <c r="C8" s="29">
        <f>SUM($B$3:B8)/SUM(B$2:B$17)</f>
        <v>0.64836913285600639</v>
      </c>
    </row>
    <row r="9" spans="1:3" ht="15" customHeight="1">
      <c r="A9" s="15" t="s">
        <v>110</v>
      </c>
      <c r="B9" s="15">
        <v>72</v>
      </c>
      <c r="C9" s="29">
        <f>SUM($B$3:B9)/SUM(B$2:B$17)</f>
        <v>0.705648369132856</v>
      </c>
    </row>
    <row r="10" spans="1:3" ht="15" customHeight="1">
      <c r="A10" s="15" t="s">
        <v>117</v>
      </c>
      <c r="B10" s="15">
        <v>71</v>
      </c>
      <c r="C10" s="29">
        <f>SUM($B$3:B10)/SUM(B$2:B$17)</f>
        <v>0.76213206046141602</v>
      </c>
    </row>
    <row r="11" spans="1:3" ht="15" customHeight="1">
      <c r="A11" s="15" t="s">
        <v>113</v>
      </c>
      <c r="B11" s="15">
        <v>66</v>
      </c>
      <c r="C11" s="29">
        <f>SUM($B$3:B11)/SUM(B$2:B$17)</f>
        <v>0.81463802704852828</v>
      </c>
    </row>
    <row r="12" spans="1:3" ht="15" customHeight="1">
      <c r="A12" s="15" t="s">
        <v>106</v>
      </c>
      <c r="B12" s="15">
        <v>54</v>
      </c>
      <c r="C12" s="29">
        <f>SUM($B$3:B12)/SUM(B$2:B$17)</f>
        <v>0.85759745425616551</v>
      </c>
    </row>
    <row r="13" spans="1:3" ht="15" customHeight="1">
      <c r="A13" s="15" t="s">
        <v>116</v>
      </c>
      <c r="B13" s="15">
        <v>48</v>
      </c>
      <c r="C13" s="29">
        <f>SUM($B$3:B13)/SUM(B$2:B$17)</f>
        <v>0.89578361177406518</v>
      </c>
    </row>
    <row r="14" spans="1:3" ht="15" customHeight="1">
      <c r="A14" s="15" t="s">
        <v>111</v>
      </c>
      <c r="B14" s="15">
        <v>41</v>
      </c>
      <c r="C14" s="29">
        <f>SUM($B$3:B14)/SUM(B$2:B$17)</f>
        <v>0.9284009546539379</v>
      </c>
    </row>
    <row r="15" spans="1:3" ht="15" customHeight="1">
      <c r="A15" s="15" t="s">
        <v>118</v>
      </c>
      <c r="B15" s="15">
        <v>38</v>
      </c>
      <c r="C15" s="29">
        <f>SUM($B$3:B15)/SUM(B$2:B$17)</f>
        <v>0.95863166268894195</v>
      </c>
    </row>
    <row r="16" spans="1:3" ht="15" customHeight="1">
      <c r="A16" s="15" t="s">
        <v>107</v>
      </c>
      <c r="B16" s="15">
        <v>37</v>
      </c>
      <c r="C16" s="29">
        <f>SUM($B$3:B16)/SUM(B$2:B$17)</f>
        <v>0.9880668257756563</v>
      </c>
    </row>
    <row r="17" spans="1:3" ht="15" customHeight="1">
      <c r="A17" s="15" t="s">
        <v>105</v>
      </c>
      <c r="B17" s="15">
        <v>15</v>
      </c>
      <c r="C17" s="29">
        <f>SUM($B$3:B17)/SUM(B$2:B$17)</f>
        <v>1</v>
      </c>
    </row>
    <row r="18" spans="1:3" ht="15" customHeight="1">
      <c r="C18" s="28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A1:D42"/>
  <sheetViews>
    <sheetView showGridLines="0" workbookViewId="0">
      <selection activeCell="E19" sqref="E19"/>
    </sheetView>
  </sheetViews>
  <sheetFormatPr defaultRowHeight="15" customHeight="1"/>
  <cols>
    <col min="1" max="1" width="9" style="18"/>
    <col min="2" max="2" width="12.375" style="18" bestFit="1" customWidth="1"/>
    <col min="3" max="4" width="9" style="18"/>
  </cols>
  <sheetData>
    <row r="1" spans="1:4" s="2" customFormat="1" ht="15" customHeight="1">
      <c r="A1" s="18"/>
      <c r="B1" s="18"/>
      <c r="C1" s="18"/>
      <c r="D1" s="18"/>
    </row>
    <row r="2" spans="1:4" ht="15" customHeight="1">
      <c r="A2" s="7" t="s">
        <v>125</v>
      </c>
      <c r="B2" s="7" t="s">
        <v>126</v>
      </c>
      <c r="C2" s="38"/>
      <c r="D2" s="38"/>
    </row>
    <row r="3" spans="1:4" ht="15" customHeight="1">
      <c r="A3" s="10" t="s">
        <v>127</v>
      </c>
      <c r="B3" s="10">
        <v>205</v>
      </c>
    </row>
    <row r="4" spans="1:4" ht="15" customHeight="1">
      <c r="A4" s="10" t="s">
        <v>127</v>
      </c>
      <c r="B4" s="10">
        <v>264</v>
      </c>
    </row>
    <row r="5" spans="1:4" ht="15" customHeight="1">
      <c r="A5" s="10" t="s">
        <v>127</v>
      </c>
      <c r="B5" s="10">
        <v>239</v>
      </c>
    </row>
    <row r="6" spans="1:4" ht="15" customHeight="1">
      <c r="A6" s="10" t="s">
        <v>127</v>
      </c>
      <c r="B6" s="10">
        <v>248</v>
      </c>
    </row>
    <row r="7" spans="1:4" ht="15" customHeight="1">
      <c r="A7" s="10" t="s">
        <v>127</v>
      </c>
      <c r="B7" s="10">
        <v>294</v>
      </c>
    </row>
    <row r="8" spans="1:4" ht="15" customHeight="1">
      <c r="A8" s="10" t="s">
        <v>127</v>
      </c>
      <c r="B8" s="10">
        <v>206</v>
      </c>
    </row>
    <row r="9" spans="1:4" ht="15" customHeight="1">
      <c r="A9" s="10" t="s">
        <v>127</v>
      </c>
      <c r="B9" s="10">
        <v>261</v>
      </c>
    </row>
    <row r="10" spans="1:4" ht="15" customHeight="1">
      <c r="A10" s="10" t="s">
        <v>127</v>
      </c>
      <c r="B10" s="10">
        <v>288</v>
      </c>
    </row>
    <row r="11" spans="1:4" ht="15" customHeight="1">
      <c r="A11" s="10" t="s">
        <v>127</v>
      </c>
      <c r="B11" s="10">
        <v>213</v>
      </c>
    </row>
    <row r="12" spans="1:4" ht="15" customHeight="1">
      <c r="A12" s="10" t="s">
        <v>127</v>
      </c>
      <c r="B12" s="10">
        <v>213</v>
      </c>
    </row>
    <row r="13" spans="1:4" ht="15" customHeight="1">
      <c r="A13" s="10" t="s">
        <v>130</v>
      </c>
      <c r="B13" s="10">
        <v>276</v>
      </c>
    </row>
    <row r="14" spans="1:4" ht="15" customHeight="1">
      <c r="A14" s="10" t="s">
        <v>130</v>
      </c>
      <c r="B14" s="10">
        <v>290</v>
      </c>
    </row>
    <row r="15" spans="1:4" ht="15" customHeight="1">
      <c r="A15" s="10" t="s">
        <v>130</v>
      </c>
      <c r="B15" s="10">
        <v>262</v>
      </c>
    </row>
    <row r="16" spans="1:4" ht="15" customHeight="1">
      <c r="A16" s="10" t="s">
        <v>130</v>
      </c>
      <c r="B16" s="10">
        <v>285</v>
      </c>
    </row>
    <row r="17" spans="1:2" ht="15" customHeight="1">
      <c r="A17" s="10" t="s">
        <v>130</v>
      </c>
      <c r="B17" s="10">
        <v>273</v>
      </c>
    </row>
    <row r="18" spans="1:2" ht="15" customHeight="1">
      <c r="A18" s="10" t="s">
        <v>130</v>
      </c>
      <c r="B18" s="10">
        <v>260</v>
      </c>
    </row>
    <row r="19" spans="1:2" ht="15" customHeight="1">
      <c r="A19" s="10" t="s">
        <v>130</v>
      </c>
      <c r="B19" s="10">
        <v>266</v>
      </c>
    </row>
    <row r="20" spans="1:2" ht="15" customHeight="1">
      <c r="A20" s="10" t="s">
        <v>130</v>
      </c>
      <c r="B20" s="10">
        <v>282</v>
      </c>
    </row>
    <row r="21" spans="1:2" ht="15" customHeight="1">
      <c r="A21" s="10" t="s">
        <v>130</v>
      </c>
      <c r="B21" s="10">
        <v>254</v>
      </c>
    </row>
    <row r="22" spans="1:2" ht="15" customHeight="1">
      <c r="A22" s="10" t="s">
        <v>130</v>
      </c>
      <c r="B22" s="10">
        <v>263</v>
      </c>
    </row>
    <row r="23" spans="1:2" ht="15" customHeight="1">
      <c r="A23" s="10" t="s">
        <v>129</v>
      </c>
      <c r="B23" s="10">
        <v>349</v>
      </c>
    </row>
    <row r="24" spans="1:2" ht="15" customHeight="1">
      <c r="A24" s="10" t="s">
        <v>129</v>
      </c>
      <c r="B24" s="10">
        <v>332</v>
      </c>
    </row>
    <row r="25" spans="1:2" ht="15" customHeight="1">
      <c r="A25" s="10" t="s">
        <v>129</v>
      </c>
      <c r="B25" s="10">
        <v>310</v>
      </c>
    </row>
    <row r="26" spans="1:2" ht="15" customHeight="1">
      <c r="A26" s="10" t="s">
        <v>129</v>
      </c>
      <c r="B26" s="10">
        <v>325</v>
      </c>
    </row>
    <row r="27" spans="1:2" ht="15" customHeight="1">
      <c r="A27" s="10" t="s">
        <v>129</v>
      </c>
      <c r="B27" s="10">
        <v>325</v>
      </c>
    </row>
    <row r="28" spans="1:2" ht="15" customHeight="1">
      <c r="A28" s="10" t="s">
        <v>129</v>
      </c>
      <c r="B28" s="10">
        <v>345</v>
      </c>
    </row>
    <row r="29" spans="1:2" ht="15" customHeight="1">
      <c r="A29" s="10" t="s">
        <v>129</v>
      </c>
      <c r="B29" s="10">
        <v>306</v>
      </c>
    </row>
    <row r="30" spans="1:2" ht="15" customHeight="1">
      <c r="A30" s="10" t="s">
        <v>129</v>
      </c>
      <c r="B30" s="10">
        <v>348</v>
      </c>
    </row>
    <row r="31" spans="1:2" ht="15" customHeight="1">
      <c r="A31" s="10" t="s">
        <v>129</v>
      </c>
      <c r="B31" s="10">
        <v>326</v>
      </c>
    </row>
    <row r="32" spans="1:2" ht="15" customHeight="1">
      <c r="A32" s="10" t="s">
        <v>129</v>
      </c>
      <c r="B32" s="10">
        <v>301</v>
      </c>
    </row>
    <row r="33" spans="1:2" ht="15" customHeight="1">
      <c r="A33" s="10" t="s">
        <v>128</v>
      </c>
      <c r="B33" s="10">
        <v>398</v>
      </c>
    </row>
    <row r="34" spans="1:2" ht="15" customHeight="1">
      <c r="A34" s="10" t="s">
        <v>128</v>
      </c>
      <c r="B34" s="10">
        <v>342</v>
      </c>
    </row>
    <row r="35" spans="1:2" ht="15" customHeight="1">
      <c r="A35" s="10" t="s">
        <v>128</v>
      </c>
      <c r="B35" s="10">
        <v>362</v>
      </c>
    </row>
    <row r="36" spans="1:2" ht="15" customHeight="1">
      <c r="A36" s="10" t="s">
        <v>128</v>
      </c>
      <c r="B36" s="10">
        <v>381</v>
      </c>
    </row>
    <row r="37" spans="1:2" ht="15" customHeight="1">
      <c r="A37" s="10" t="s">
        <v>128</v>
      </c>
      <c r="B37" s="10">
        <v>355</v>
      </c>
    </row>
    <row r="38" spans="1:2" ht="15" customHeight="1">
      <c r="A38" s="10" t="s">
        <v>128</v>
      </c>
      <c r="B38" s="10">
        <v>380</v>
      </c>
    </row>
    <row r="39" spans="1:2" ht="15" customHeight="1">
      <c r="A39" s="10" t="s">
        <v>128</v>
      </c>
      <c r="B39" s="10">
        <v>301</v>
      </c>
    </row>
    <row r="40" spans="1:2" ht="15" customHeight="1">
      <c r="A40" s="10" t="s">
        <v>128</v>
      </c>
      <c r="B40" s="10">
        <v>346</v>
      </c>
    </row>
    <row r="41" spans="1:2" ht="15" customHeight="1">
      <c r="A41" s="10" t="s">
        <v>128</v>
      </c>
      <c r="B41" s="10">
        <v>317</v>
      </c>
    </row>
    <row r="42" spans="1:2" ht="15" customHeight="1">
      <c r="A42" s="10" t="s">
        <v>128</v>
      </c>
      <c r="B42" s="10">
        <v>383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tabColor rgb="FF92D050"/>
  </sheetPr>
  <dimension ref="A1:Y20"/>
  <sheetViews>
    <sheetView showGridLines="0" workbookViewId="0">
      <selection activeCell="A19" sqref="A19"/>
    </sheetView>
  </sheetViews>
  <sheetFormatPr defaultRowHeight="15" customHeight="1"/>
  <cols>
    <col min="1" max="7" width="9" style="8"/>
  </cols>
  <sheetData>
    <row r="1" spans="1:25" ht="15" customHeight="1">
      <c r="O1" s="53" t="s">
        <v>72</v>
      </c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ht="15" customHeight="1">
      <c r="A2" s="7" t="s">
        <v>55</v>
      </c>
      <c r="B2" s="7" t="s">
        <v>56</v>
      </c>
      <c r="S2" s="1"/>
    </row>
    <row r="3" spans="1:25" ht="15" customHeight="1">
      <c r="A3" s="10" t="s">
        <v>57</v>
      </c>
      <c r="B3" s="10">
        <v>8000</v>
      </c>
      <c r="S3" s="1"/>
    </row>
    <row r="4" spans="1:25" ht="15" customHeight="1">
      <c r="A4" s="10" t="s">
        <v>58</v>
      </c>
      <c r="B4" s="10">
        <v>1000</v>
      </c>
    </row>
    <row r="5" spans="1:25" ht="15" customHeight="1">
      <c r="A5" s="10" t="s">
        <v>59</v>
      </c>
      <c r="B5" s="10">
        <v>500</v>
      </c>
    </row>
    <row r="6" spans="1:25" ht="15" customHeight="1">
      <c r="A6" s="31" t="s">
        <v>60</v>
      </c>
      <c r="B6" s="31">
        <f>SUM(B3:B5)</f>
        <v>9500</v>
      </c>
    </row>
    <row r="7" spans="1:25" ht="15" customHeight="1">
      <c r="A7" s="10" t="s">
        <v>61</v>
      </c>
      <c r="B7" s="10">
        <v>-945</v>
      </c>
    </row>
    <row r="8" spans="1:25" ht="15" customHeight="1">
      <c r="A8" s="10" t="s">
        <v>62</v>
      </c>
      <c r="B8" s="10">
        <v>-630</v>
      </c>
    </row>
    <row r="9" spans="1:25" ht="15" customHeight="1">
      <c r="A9" s="10" t="s">
        <v>63</v>
      </c>
      <c r="B9" s="10">
        <v>-288</v>
      </c>
    </row>
    <row r="10" spans="1:25" ht="15" customHeight="1">
      <c r="A10" s="31" t="s">
        <v>64</v>
      </c>
      <c r="B10" s="31">
        <f>B6+B7+B8+B9</f>
        <v>7637</v>
      </c>
    </row>
    <row r="11" spans="1:25" ht="15" customHeight="1">
      <c r="A11" s="30"/>
      <c r="B11" s="30"/>
    </row>
    <row r="12" spans="1:25" ht="15" customHeight="1">
      <c r="A12" s="16"/>
      <c r="B12" s="16"/>
    </row>
    <row r="13" spans="1:25" ht="15" customHeight="1">
      <c r="A13" s="16"/>
      <c r="B13"/>
    </row>
    <row r="18" spans="5:5" ht="15" customHeight="1">
      <c r="E18"/>
    </row>
    <row r="19" spans="5:5" ht="15" customHeight="1">
      <c r="E19"/>
    </row>
    <row r="20" spans="5:5" ht="15" customHeight="1">
      <c r="E20"/>
    </row>
  </sheetData>
  <mergeCells count="1">
    <mergeCell ref="O1:Y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N15"/>
  <sheetViews>
    <sheetView showGridLines="0" workbookViewId="0">
      <selection activeCell="Q15" sqref="Q15"/>
    </sheetView>
  </sheetViews>
  <sheetFormatPr defaultRowHeight="15" customHeight="1"/>
  <cols>
    <col min="1" max="1" width="9.625" style="33" bestFit="1" customWidth="1"/>
    <col min="2" max="2" width="6.75" style="33" bestFit="1" customWidth="1"/>
    <col min="3" max="3" width="7" style="34" customWidth="1"/>
    <col min="4" max="4" width="11.125" style="34" customWidth="1"/>
    <col min="5" max="5" width="9.75" style="34" customWidth="1"/>
  </cols>
  <sheetData>
    <row r="1" spans="1:14" s="2" customFormat="1" ht="15" customHeight="1">
      <c r="A1" s="33"/>
      <c r="B1" s="33"/>
      <c r="C1" s="34"/>
      <c r="D1" s="34"/>
      <c r="E1" s="34"/>
    </row>
    <row r="2" spans="1:14" ht="15" customHeight="1">
      <c r="A2" s="6" t="s">
        <v>68</v>
      </c>
      <c r="B2" s="6" t="s">
        <v>69</v>
      </c>
    </row>
    <row r="3" spans="1:14" ht="15" customHeight="1">
      <c r="A3" s="5" t="s">
        <v>122</v>
      </c>
      <c r="B3" s="5">
        <v>8000</v>
      </c>
      <c r="C3" s="35"/>
      <c r="N3" s="1"/>
    </row>
    <row r="4" spans="1:14" ht="15" customHeight="1">
      <c r="A4" s="5" t="s">
        <v>70</v>
      </c>
      <c r="B4" s="5">
        <v>6400</v>
      </c>
      <c r="C4" s="35"/>
      <c r="N4" s="1"/>
    </row>
    <row r="5" spans="1:14" ht="15" customHeight="1">
      <c r="A5" s="5" t="s">
        <v>71</v>
      </c>
      <c r="B5" s="5">
        <v>2400</v>
      </c>
      <c r="C5" s="35"/>
    </row>
    <row r="6" spans="1:14" ht="15" customHeight="1">
      <c r="A6" s="5" t="s">
        <v>121</v>
      </c>
      <c r="B6" s="5">
        <v>1600</v>
      </c>
      <c r="C6" s="35"/>
    </row>
    <row r="7" spans="1:14" ht="15" customHeight="1">
      <c r="A7" s="5" t="s">
        <v>120</v>
      </c>
      <c r="B7" s="5">
        <v>1200</v>
      </c>
      <c r="C7" s="35"/>
    </row>
    <row r="8" spans="1:14" ht="15" customHeight="1">
      <c r="A8" s="36"/>
      <c r="B8" s="36"/>
    </row>
    <row r="10" spans="1:14" ht="15" customHeight="1">
      <c r="A10" s="6" t="s">
        <v>68</v>
      </c>
      <c r="B10" s="6" t="s">
        <v>73</v>
      </c>
      <c r="C10" s="6" t="s">
        <v>69</v>
      </c>
      <c r="D10" s="6" t="s">
        <v>124</v>
      </c>
      <c r="E10" s="6" t="s">
        <v>123</v>
      </c>
    </row>
    <row r="11" spans="1:14" ht="15" customHeight="1">
      <c r="A11" s="5" t="s">
        <v>122</v>
      </c>
      <c r="B11" s="5">
        <f>($C$11-C11)/2</f>
        <v>0</v>
      </c>
      <c r="C11" s="5">
        <v>8000</v>
      </c>
      <c r="D11" s="32">
        <v>1</v>
      </c>
      <c r="E11" s="32">
        <v>1</v>
      </c>
    </row>
    <row r="12" spans="1:14" ht="15" customHeight="1">
      <c r="A12" s="5" t="s">
        <v>70</v>
      </c>
      <c r="B12" s="5">
        <f>($C$11-C12)/2</f>
        <v>800</v>
      </c>
      <c r="C12" s="5">
        <v>6400</v>
      </c>
      <c r="D12" s="9">
        <f>C12/C11</f>
        <v>0.8</v>
      </c>
      <c r="E12" s="9">
        <f>C12/$C$11</f>
        <v>0.8</v>
      </c>
    </row>
    <row r="13" spans="1:14" ht="15" customHeight="1">
      <c r="A13" s="5" t="s">
        <v>71</v>
      </c>
      <c r="B13" s="5">
        <f>($C$11-C13)/2</f>
        <v>2800</v>
      </c>
      <c r="C13" s="5">
        <v>2400</v>
      </c>
      <c r="D13" s="9">
        <f t="shared" ref="D13:D15" si="0">C13/C12</f>
        <v>0.375</v>
      </c>
      <c r="E13" s="9">
        <f>C13/$C$11</f>
        <v>0.3</v>
      </c>
    </row>
    <row r="14" spans="1:14" ht="15" customHeight="1">
      <c r="A14" s="5" t="s">
        <v>121</v>
      </c>
      <c r="B14" s="5">
        <f>($C$11-C14)/2</f>
        <v>3200</v>
      </c>
      <c r="C14" s="5">
        <v>1600</v>
      </c>
      <c r="D14" s="9">
        <f t="shared" si="0"/>
        <v>0.66666666666666663</v>
      </c>
      <c r="E14" s="9">
        <f>C14/$C$11</f>
        <v>0.2</v>
      </c>
    </row>
    <row r="15" spans="1:14" ht="15" customHeight="1">
      <c r="A15" s="5" t="s">
        <v>120</v>
      </c>
      <c r="B15" s="5">
        <f>($C$11-C15)/2</f>
        <v>3400</v>
      </c>
      <c r="C15" s="5">
        <v>1200</v>
      </c>
      <c r="D15" s="9">
        <f t="shared" si="0"/>
        <v>0.75</v>
      </c>
      <c r="E15" s="9">
        <f>C15/$C$11</f>
        <v>0.15</v>
      </c>
    </row>
  </sheetData>
  <sortState ref="A11:E15">
    <sortCondition descending="1" ref="C11:C15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92D050"/>
  </sheetPr>
  <dimension ref="A2:C34"/>
  <sheetViews>
    <sheetView showGridLines="0" zoomScaleNormal="100" workbookViewId="0">
      <selection activeCell="B3" sqref="B3"/>
    </sheetView>
  </sheetViews>
  <sheetFormatPr defaultRowHeight="15" customHeight="1"/>
  <cols>
    <col min="1" max="1" width="9" style="49"/>
    <col min="2" max="3" width="9.25" style="49" bestFit="1" customWidth="1"/>
    <col min="4" max="16384" width="9" style="49"/>
  </cols>
  <sheetData>
    <row r="2" spans="1:3" ht="15" customHeight="1">
      <c r="A2" s="47" t="s">
        <v>16</v>
      </c>
      <c r="B2" s="48" t="s">
        <v>133</v>
      </c>
      <c r="C2" s="48" t="s">
        <v>134</v>
      </c>
    </row>
    <row r="3" spans="1:3" ht="15" customHeight="1">
      <c r="A3" s="50" t="s">
        <v>26</v>
      </c>
      <c r="B3" s="51">
        <v>97277</v>
      </c>
      <c r="C3" s="51">
        <v>11169</v>
      </c>
    </row>
    <row r="4" spans="1:3" ht="15" customHeight="1">
      <c r="A4" s="50" t="s">
        <v>27</v>
      </c>
      <c r="B4" s="51">
        <v>92595</v>
      </c>
      <c r="C4" s="51">
        <v>8029</v>
      </c>
    </row>
    <row r="5" spans="1:3" ht="15" customHeight="1">
      <c r="A5" s="50" t="s">
        <v>28</v>
      </c>
      <c r="B5" s="51">
        <v>76469</v>
      </c>
      <c r="C5" s="51">
        <v>10006</v>
      </c>
    </row>
    <row r="6" spans="1:3" ht="15" customHeight="1">
      <c r="A6" s="50" t="s">
        <v>29</v>
      </c>
      <c r="B6" s="51">
        <v>56197</v>
      </c>
      <c r="C6" s="51">
        <v>5657</v>
      </c>
    </row>
    <row r="7" spans="1:3" ht="15" customHeight="1">
      <c r="A7" s="50" t="s">
        <v>30</v>
      </c>
      <c r="B7" s="51">
        <v>48055</v>
      </c>
      <c r="C7" s="51">
        <v>9559</v>
      </c>
    </row>
    <row r="8" spans="1:3" ht="15" customHeight="1">
      <c r="A8" s="50" t="s">
        <v>33</v>
      </c>
      <c r="B8" s="51">
        <v>40678</v>
      </c>
      <c r="C8" s="51">
        <v>8302</v>
      </c>
    </row>
    <row r="9" spans="1:3" ht="15" customHeight="1">
      <c r="A9" s="50" t="s">
        <v>34</v>
      </c>
      <c r="B9" s="51">
        <v>39366</v>
      </c>
      <c r="C9" s="51">
        <v>5902</v>
      </c>
    </row>
    <row r="10" spans="1:3" ht="15" customHeight="1">
      <c r="A10" s="50" t="s">
        <v>35</v>
      </c>
      <c r="B10" s="51">
        <v>36425</v>
      </c>
      <c r="C10" s="51">
        <v>6860</v>
      </c>
    </row>
    <row r="11" spans="1:3" ht="15" customHeight="1">
      <c r="A11" s="50" t="s">
        <v>31</v>
      </c>
      <c r="B11" s="51">
        <v>36010</v>
      </c>
      <c r="C11" s="51">
        <v>7520</v>
      </c>
    </row>
    <row r="12" spans="1:3" ht="15" customHeight="1">
      <c r="A12" s="50" t="s">
        <v>36</v>
      </c>
      <c r="B12" s="51">
        <v>35804</v>
      </c>
      <c r="C12" s="51">
        <v>3911</v>
      </c>
    </row>
    <row r="13" spans="1:3" ht="15" customHeight="1">
      <c r="A13" s="50" t="s">
        <v>17</v>
      </c>
      <c r="B13" s="51">
        <v>32679</v>
      </c>
      <c r="C13" s="51">
        <v>2418</v>
      </c>
    </row>
    <row r="14" spans="1:3" ht="15" customHeight="1">
      <c r="A14" s="50" t="s">
        <v>18</v>
      </c>
      <c r="B14" s="51">
        <v>30320</v>
      </c>
      <c r="C14" s="51">
        <v>2172</v>
      </c>
    </row>
    <row r="15" spans="1:3" ht="15" customHeight="1">
      <c r="A15" s="50" t="s">
        <v>37</v>
      </c>
      <c r="B15" s="51">
        <v>30006</v>
      </c>
      <c r="C15" s="51">
        <v>6255</v>
      </c>
    </row>
    <row r="16" spans="1:3" ht="15" customHeight="1">
      <c r="A16" s="50" t="s">
        <v>32</v>
      </c>
      <c r="B16" s="51">
        <v>25315</v>
      </c>
      <c r="C16" s="51">
        <v>4369</v>
      </c>
    </row>
    <row r="17" spans="1:3" ht="15" customHeight="1">
      <c r="A17" s="50" t="s">
        <v>38</v>
      </c>
      <c r="B17" s="51">
        <v>24438</v>
      </c>
      <c r="C17" s="51">
        <v>3835</v>
      </c>
    </row>
    <row r="18" spans="1:3" ht="15" customHeight="1">
      <c r="A18" s="50" t="s">
        <v>40</v>
      </c>
      <c r="B18" s="51">
        <v>21984</v>
      </c>
      <c r="C18" s="51">
        <v>4622</v>
      </c>
    </row>
    <row r="19" spans="1:3" ht="15" customHeight="1">
      <c r="A19" s="50" t="s">
        <v>22</v>
      </c>
      <c r="B19" s="51">
        <v>20363</v>
      </c>
      <c r="C19" s="51">
        <v>3075</v>
      </c>
    </row>
    <row r="20" spans="1:3" ht="15" customHeight="1">
      <c r="A20" s="50" t="s">
        <v>20</v>
      </c>
      <c r="B20" s="51">
        <v>20352</v>
      </c>
      <c r="C20" s="51">
        <v>4885</v>
      </c>
    </row>
    <row r="21" spans="1:3" ht="15" customHeight="1">
      <c r="A21" s="50" t="s">
        <v>21</v>
      </c>
      <c r="B21" s="51">
        <v>18809</v>
      </c>
      <c r="C21" s="51">
        <v>1557</v>
      </c>
    </row>
    <row r="22" spans="1:3" ht="15" customHeight="1">
      <c r="A22" s="50" t="s">
        <v>43</v>
      </c>
      <c r="B22" s="51">
        <v>17881</v>
      </c>
      <c r="C22" s="51">
        <v>4801</v>
      </c>
    </row>
    <row r="23" spans="1:3" ht="15" customHeight="1">
      <c r="A23" s="50" t="s">
        <v>19</v>
      </c>
      <c r="B23" s="51">
        <v>17289</v>
      </c>
      <c r="C23" s="51">
        <v>2529</v>
      </c>
    </row>
    <row r="24" spans="1:3" ht="15" customHeight="1">
      <c r="A24" s="50" t="s">
        <v>39</v>
      </c>
      <c r="B24" s="51">
        <v>16361</v>
      </c>
      <c r="C24" s="51">
        <v>3789</v>
      </c>
    </row>
    <row r="25" spans="1:3" ht="15" customHeight="1">
      <c r="A25" s="50" t="s">
        <v>42</v>
      </c>
      <c r="B25" s="51">
        <v>16818</v>
      </c>
      <c r="C25" s="51">
        <v>3702</v>
      </c>
    </row>
    <row r="26" spans="1:3" ht="15" customHeight="1">
      <c r="A26" s="50" t="s">
        <v>41</v>
      </c>
      <c r="B26" s="51">
        <v>15944</v>
      </c>
      <c r="C26" s="51">
        <v>2717</v>
      </c>
    </row>
    <row r="27" spans="1:3" ht="15" customHeight="1">
      <c r="A27" s="50" t="s">
        <v>44</v>
      </c>
      <c r="B27" s="51">
        <v>14806</v>
      </c>
      <c r="C27" s="51">
        <v>3580</v>
      </c>
    </row>
    <row r="28" spans="1:3" ht="15" customHeight="1">
      <c r="A28" s="50" t="s">
        <v>23</v>
      </c>
      <c r="B28" s="51">
        <v>12199</v>
      </c>
      <c r="C28" s="51">
        <v>2445</v>
      </c>
    </row>
    <row r="29" spans="1:3" ht="15" customHeight="1">
      <c r="A29" s="50" t="s">
        <v>45</v>
      </c>
      <c r="B29" s="51">
        <v>8246</v>
      </c>
      <c r="C29" s="51">
        <v>2626</v>
      </c>
    </row>
    <row r="30" spans="1:3" ht="15" customHeight="1">
      <c r="A30" s="50" t="s">
        <v>46</v>
      </c>
      <c r="B30" s="51">
        <v>4832</v>
      </c>
      <c r="C30" s="51">
        <v>926</v>
      </c>
    </row>
    <row r="31" spans="1:3" ht="15" customHeight="1">
      <c r="A31" s="50" t="s">
        <v>24</v>
      </c>
      <c r="B31" s="51">
        <v>3705</v>
      </c>
      <c r="C31" s="51">
        <v>682</v>
      </c>
    </row>
    <row r="32" spans="1:3" ht="15" customHeight="1">
      <c r="A32" s="50" t="s">
        <v>47</v>
      </c>
      <c r="B32" s="51">
        <v>2865</v>
      </c>
      <c r="C32" s="51">
        <v>598</v>
      </c>
    </row>
    <row r="33" spans="1:3" ht="15" customHeight="1">
      <c r="A33" s="50" t="s">
        <v>25</v>
      </c>
      <c r="B33" s="51">
        <v>1310</v>
      </c>
      <c r="C33" s="51">
        <v>337</v>
      </c>
    </row>
    <row r="34" spans="1:3" ht="15" customHeight="1">
      <c r="A34" s="50" t="s">
        <v>135</v>
      </c>
      <c r="B34" s="51">
        <v>39001</v>
      </c>
      <c r="C34" s="51">
        <v>2358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2:O29"/>
  <sheetViews>
    <sheetView showGridLines="0" workbookViewId="0">
      <selection activeCell="O12" sqref="O12"/>
    </sheetView>
  </sheetViews>
  <sheetFormatPr defaultRowHeight="15" customHeight="1"/>
  <cols>
    <col min="1" max="4" width="7.25" style="37" customWidth="1"/>
    <col min="5" max="5" width="2.125" style="8" customWidth="1"/>
    <col min="6" max="6" width="9.125" style="8" customWidth="1"/>
    <col min="7" max="14" width="9" style="8"/>
    <col min="15" max="15" width="25" style="8" bestFit="1" customWidth="1"/>
    <col min="16" max="16384" width="9" style="8"/>
  </cols>
  <sheetData>
    <row r="2" spans="1:15" ht="15" customHeight="1">
      <c r="A2" s="46" t="s">
        <v>0</v>
      </c>
      <c r="B2" s="46" t="s">
        <v>1</v>
      </c>
      <c r="C2" s="46" t="s">
        <v>2</v>
      </c>
      <c r="D2" s="46" t="s">
        <v>3</v>
      </c>
      <c r="F2" s="45">
        <v>3</v>
      </c>
      <c r="O2" s="40" t="s">
        <v>65</v>
      </c>
    </row>
    <row r="3" spans="1:15" ht="15" customHeight="1">
      <c r="A3" s="5" t="s">
        <v>6</v>
      </c>
      <c r="B3" s="39">
        <v>1701</v>
      </c>
      <c r="C3" s="39">
        <v>481</v>
      </c>
      <c r="D3" s="39">
        <v>982</v>
      </c>
      <c r="F3" s="44"/>
      <c r="O3" s="40" t="s">
        <v>66</v>
      </c>
    </row>
    <row r="4" spans="1:15" ht="15" customHeight="1">
      <c r="A4" s="5" t="s">
        <v>5</v>
      </c>
      <c r="B4" s="39">
        <v>1634</v>
      </c>
      <c r="C4" s="39">
        <v>347</v>
      </c>
      <c r="D4" s="39">
        <v>816</v>
      </c>
      <c r="F4" s="44"/>
      <c r="O4" s="40" t="s">
        <v>67</v>
      </c>
    </row>
    <row r="5" spans="1:15" ht="15" customHeight="1">
      <c r="A5" s="5" t="s">
        <v>4</v>
      </c>
      <c r="B5" s="39">
        <v>1285</v>
      </c>
      <c r="C5" s="39">
        <v>450</v>
      </c>
      <c r="D5" s="39">
        <v>598</v>
      </c>
      <c r="F5" s="44"/>
      <c r="O5" s="40"/>
    </row>
    <row r="6" spans="1:15" ht="15" customHeight="1">
      <c r="A6" s="5" t="s">
        <v>132</v>
      </c>
      <c r="B6" s="39">
        <v>1311</v>
      </c>
      <c r="C6" s="39">
        <v>322</v>
      </c>
      <c r="D6" s="39">
        <v>743</v>
      </c>
      <c r="F6" s="44"/>
      <c r="O6" s="40" t="s">
        <v>131</v>
      </c>
    </row>
    <row r="7" spans="1:15" ht="15" customHeight="1">
      <c r="F7" s="44"/>
    </row>
    <row r="8" spans="1:15" ht="15" customHeight="1">
      <c r="F8" s="44"/>
    </row>
    <row r="9" spans="1:15" ht="15" customHeight="1">
      <c r="F9" s="43"/>
    </row>
    <row r="10" spans="1:15" ht="15" customHeight="1">
      <c r="F10" s="44"/>
    </row>
    <row r="11" spans="1:15" ht="15" customHeight="1">
      <c r="A11" s="41"/>
      <c r="B11" s="41"/>
      <c r="C11" s="41"/>
      <c r="F11" s="44"/>
    </row>
    <row r="12" spans="1:15" ht="15" customHeight="1">
      <c r="B12" s="41"/>
      <c r="C12" s="41"/>
      <c r="F12" s="44"/>
    </row>
    <row r="13" spans="1:15" ht="15" customHeight="1">
      <c r="B13" s="40"/>
      <c r="C13" s="41"/>
      <c r="F13" s="44"/>
    </row>
    <row r="14" spans="1:15" ht="15" customHeight="1">
      <c r="B14" s="40"/>
      <c r="C14" s="41"/>
      <c r="F14" s="44"/>
    </row>
    <row r="15" spans="1:15" ht="15" customHeight="1">
      <c r="B15" s="40"/>
      <c r="C15" s="41"/>
      <c r="F15" s="44"/>
    </row>
    <row r="16" spans="1:15" ht="15" customHeight="1">
      <c r="B16" s="41"/>
      <c r="C16" s="41"/>
      <c r="F16" s="43"/>
    </row>
    <row r="17" spans="1:6" ht="15" customHeight="1">
      <c r="A17" s="41"/>
      <c r="B17" s="41"/>
      <c r="C17" s="41"/>
      <c r="F17" s="44"/>
    </row>
    <row r="18" spans="1:6" ht="15" customHeight="1">
      <c r="A18" s="41"/>
      <c r="B18" s="42"/>
      <c r="C18" s="42"/>
      <c r="D18" s="18"/>
      <c r="F18" s="44"/>
    </row>
    <row r="19" spans="1:6" ht="15" customHeight="1">
      <c r="A19" s="41"/>
      <c r="B19" s="41"/>
      <c r="C19" s="41"/>
      <c r="F19" s="44"/>
    </row>
    <row r="20" spans="1:6" ht="15" customHeight="1">
      <c r="A20" s="41"/>
      <c r="B20" s="41"/>
      <c r="C20" s="41"/>
      <c r="F20" s="44"/>
    </row>
    <row r="21" spans="1:6" ht="15" customHeight="1">
      <c r="A21" s="41"/>
      <c r="B21" s="41"/>
      <c r="C21" s="41"/>
      <c r="F21" s="44"/>
    </row>
    <row r="22" spans="1:6" ht="15" customHeight="1">
      <c r="A22" s="41"/>
      <c r="B22" s="41"/>
      <c r="C22" s="41"/>
      <c r="F22" s="44"/>
    </row>
    <row r="23" spans="1:6" ht="15" customHeight="1">
      <c r="F23" s="43"/>
    </row>
    <row r="24" spans="1:6" ht="15" customHeight="1">
      <c r="F24" s="44"/>
    </row>
    <row r="25" spans="1:6" ht="15" customHeight="1">
      <c r="F25" s="44"/>
    </row>
    <row r="26" spans="1:6" ht="15" customHeight="1">
      <c r="F26" s="44"/>
    </row>
    <row r="27" spans="1:6" ht="15" customHeight="1">
      <c r="F27" s="44"/>
    </row>
    <row r="28" spans="1:6" ht="15" customHeight="1">
      <c r="F28" s="44"/>
    </row>
    <row r="29" spans="1:6" ht="15" customHeight="1">
      <c r="F29" s="44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Drop Down 1">
              <controlPr defaultSize="0" autoLine="0" autoPict="0">
                <anchor moveWithCells="1">
                  <from>
                    <xdr:col>10</xdr:col>
                    <xdr:colOff>85725</xdr:colOff>
                    <xdr:row>3</xdr:row>
                    <xdr:rowOff>9525</xdr:rowOff>
                  </from>
                  <to>
                    <xdr:col>11</xdr:col>
                    <xdr:colOff>257175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��o:ydkY:No:y�vN�N�c��
</file>

<file path=customXml/item3.xml>��o:ydkY:No:y�vN�N�c���VB\0W:S:S�W1'[0W:S:S�W:S�W0W:S:S�W1'[0W:S:S�W:S�W�N�S:S�W1'[�N�S:S�W:S�W
</file>

<file path=customXml/itemProps1.xml><?xml version="1.0" encoding="utf-8"?>
<ds:datastoreItem xmlns:ds="http://schemas.openxmlformats.org/officeDocument/2006/customXml" ds:itemID="{6E4EC8A5-350F-42FA-ACDD-4ED883DE1C4B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A8EBD4B5-7393-4B01-925B-4E12F029AA42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E59E8B27-CE7A-4809-9F83-392E23A25C8A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树状图</vt:lpstr>
      <vt:lpstr>旭日图</vt:lpstr>
      <vt:lpstr>直方图</vt:lpstr>
      <vt:lpstr>排列图</vt:lpstr>
      <vt:lpstr>排列图-组合图</vt:lpstr>
      <vt:lpstr>箱形图</vt:lpstr>
      <vt:lpstr>瀑布图</vt:lpstr>
      <vt:lpstr>漏斗图</vt:lpstr>
      <vt:lpstr>Map地图</vt:lpstr>
      <vt:lpstr>动态图表</vt:lpstr>
      <vt:lpstr>标题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2019-06-28T02:33:47Z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03f162fb-11ae-46c4-8963-07e48a869cb6</vt:lpwstr>
  </property>
</Properties>
</file>