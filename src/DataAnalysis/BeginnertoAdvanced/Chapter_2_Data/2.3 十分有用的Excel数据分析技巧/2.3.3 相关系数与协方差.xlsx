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协方差" sheetId="1" r:id="rId1"/>
    <sheet name="相关系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F4" i="1"/>
  <c r="E3" i="1"/>
  <c r="A6" i="1" l="1"/>
  <c r="A7" i="1" l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<sst xmlns="http://schemas.openxmlformats.org/spreadsheetml/2006/main" count="12" uniqueCount="4">
  <si>
    <t>学生成绩</t>
  </si>
  <si>
    <t>学生成绩</t>
    <phoneticPr fontId="1" type="noConversion"/>
  </si>
  <si>
    <t>游戏时间/分钟</t>
  </si>
  <si>
    <t>游戏时间/分钟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</si>
</sst>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tabSelected="1" workbookViewId="0">
      <selection activeCell="C5" sqref="A1:F11"/>
    </sheetView>
  </sheetViews>
  <sheetFormatPr defaultRowHeight="15" customHeight="1" x14ac:dyDescent="0.2"/>
  <cols>
    <col min="1" max="2" width="14.5" style="11" customWidth="1"/>
    <col min="3" max="3" width="8.75" style="10" customWidth="1"/>
    <col min="4" max="4" width="12.375" style="10" bestFit="1" customWidth="1"/>
    <col min="5" max="5" width="12" style="11" customWidth="1"/>
    <col min="6" max="6" width="8" style="11" bestFit="1" customWidth="1"/>
    <col min="7" max="16384" width="9" style="10"/>
  </cols>
  <sheetData>
    <row r="1" spans="1:6" ht="15" customHeight="1" thickBot="1" x14ac:dyDescent="0.25">
      <c r="A1" s="9" t="s">
        <v>3</v>
      </c>
      <c r="B1" s="9" t="s">
        <v>1</v>
      </c>
    </row>
    <row r="2" spans="1:6" ht="15" customHeight="1" x14ac:dyDescent="0.2">
      <c r="A2" s="12">
        <v>15</v>
      </c>
      <c r="B2" s="12">
        <v>90</v>
      </c>
      <c r="D2" s="13"/>
      <c r="E2" s="13" t="s">
        <v>2</v>
      </c>
      <c r="F2" s="13" t="s">
        <v>0</v>
      </c>
    </row>
    <row r="3" spans="1:6" ht="15" customHeight="1" x14ac:dyDescent="0.2">
      <c r="A3" s="12">
        <v>30</v>
      </c>
      <c r="B3" s="12">
        <v>85</v>
      </c>
      <c r="D3" s="14" t="s">
        <v>2</v>
      </c>
      <c r="E3" s="15">
        <f>VARP(协方差!$A$2:$A$11)</f>
        <v>1856.25</v>
      </c>
      <c r="F3" s="15"/>
    </row>
    <row r="4" spans="1:6" ht="15" customHeight="1" thickBot="1" x14ac:dyDescent="0.25">
      <c r="A4" s="12">
        <v>45</v>
      </c>
      <c r="B4" s="12">
        <v>87</v>
      </c>
      <c r="D4" s="16" t="s">
        <v>0</v>
      </c>
      <c r="E4" s="17">
        <v>-385.5</v>
      </c>
      <c r="F4" s="17">
        <f>VARP(协方差!$B$2:$B$11)</f>
        <v>100.36</v>
      </c>
    </row>
    <row r="5" spans="1:6" ht="15" customHeight="1" x14ac:dyDescent="0.2">
      <c r="A5" s="12">
        <v>60</v>
      </c>
      <c r="B5" s="12">
        <v>70</v>
      </c>
    </row>
    <row r="6" spans="1:6" ht="15" customHeight="1" x14ac:dyDescent="0.2">
      <c r="A6" s="12">
        <f>A5+15</f>
        <v>75</v>
      </c>
      <c r="B6" s="12">
        <v>72</v>
      </c>
    </row>
    <row r="7" spans="1:6" ht="15" customHeight="1" x14ac:dyDescent="0.2">
      <c r="A7" s="12">
        <f t="shared" ref="A7:A11" si="0">A6+15</f>
        <v>90</v>
      </c>
      <c r="B7" s="12">
        <v>68</v>
      </c>
    </row>
    <row r="8" spans="1:6" ht="15" customHeight="1" x14ac:dyDescent="0.2">
      <c r="A8" s="12">
        <f t="shared" si="0"/>
        <v>105</v>
      </c>
      <c r="B8" s="12">
        <v>73</v>
      </c>
    </row>
    <row r="9" spans="1:6" ht="15" customHeight="1" x14ac:dyDescent="0.2">
      <c r="A9" s="12">
        <f t="shared" si="0"/>
        <v>120</v>
      </c>
      <c r="B9" s="12">
        <v>73</v>
      </c>
    </row>
    <row r="10" spans="1:6" ht="15" customHeight="1" x14ac:dyDescent="0.2">
      <c r="A10" s="12">
        <f t="shared" si="0"/>
        <v>135</v>
      </c>
      <c r="B10" s="12">
        <v>62</v>
      </c>
    </row>
    <row r="11" spans="1:6" ht="15" customHeight="1" x14ac:dyDescent="0.2">
      <c r="A11" s="12">
        <f t="shared" si="0"/>
        <v>150</v>
      </c>
      <c r="B11" s="12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workbookViewId="0">
      <selection activeCell="D8" sqref="D8"/>
    </sheetView>
  </sheetViews>
  <sheetFormatPr defaultRowHeight="14.25" x14ac:dyDescent="0.2"/>
  <cols>
    <col min="1" max="2" width="14.5" style="3" customWidth="1"/>
    <col min="3" max="3" width="9" style="3"/>
    <col min="4" max="4" width="13.375" style="18" customWidth="1"/>
    <col min="5" max="5" width="13.875" style="4" bestFit="1" customWidth="1"/>
    <col min="6" max="6" width="9" style="4"/>
    <col min="7" max="8" width="9" style="1"/>
  </cols>
  <sheetData>
    <row r="1" spans="1:6" ht="15" thickBot="1" x14ac:dyDescent="0.25">
      <c r="A1" s="2" t="s">
        <v>3</v>
      </c>
      <c r="B1" s="2" t="s">
        <v>1</v>
      </c>
    </row>
    <row r="2" spans="1:6" x14ac:dyDescent="0.2">
      <c r="A2" s="5">
        <v>15</v>
      </c>
      <c r="B2" s="5">
        <v>90</v>
      </c>
      <c r="D2" s="19"/>
      <c r="E2" s="6" t="s">
        <v>2</v>
      </c>
      <c r="F2" s="6" t="s">
        <v>0</v>
      </c>
    </row>
    <row r="3" spans="1:6" ht="15" customHeight="1" x14ac:dyDescent="0.2">
      <c r="A3" s="5">
        <v>30</v>
      </c>
      <c r="B3" s="5">
        <v>85</v>
      </c>
      <c r="D3" s="20" t="s">
        <v>2</v>
      </c>
      <c r="E3" s="7">
        <v>1</v>
      </c>
      <c r="F3" s="7"/>
    </row>
    <row r="4" spans="1:6" ht="15" thickBot="1" x14ac:dyDescent="0.25">
      <c r="A4" s="5">
        <v>45</v>
      </c>
      <c r="B4" s="5">
        <v>87</v>
      </c>
      <c r="D4" s="21" t="s">
        <v>0</v>
      </c>
      <c r="E4" s="8">
        <v>-0.89315292066423424</v>
      </c>
      <c r="F4" s="8">
        <v>1</v>
      </c>
    </row>
    <row r="5" spans="1:6" x14ac:dyDescent="0.2">
      <c r="A5" s="5">
        <v>60</v>
      </c>
      <c r="B5" s="5">
        <v>70</v>
      </c>
    </row>
    <row r="6" spans="1:6" x14ac:dyDescent="0.2">
      <c r="A6" s="5">
        <f>A5+15</f>
        <v>75</v>
      </c>
      <c r="B6" s="5">
        <v>72</v>
      </c>
    </row>
    <row r="7" spans="1:6" x14ac:dyDescent="0.2">
      <c r="A7" s="5">
        <f t="shared" ref="A7:A11" si="0">A6+15</f>
        <v>90</v>
      </c>
      <c r="B7" s="5">
        <v>68</v>
      </c>
    </row>
    <row r="8" spans="1:6" x14ac:dyDescent="0.2">
      <c r="A8" s="5">
        <f t="shared" si="0"/>
        <v>105</v>
      </c>
      <c r="B8" s="5">
        <v>73</v>
      </c>
    </row>
    <row r="9" spans="1:6" x14ac:dyDescent="0.2">
      <c r="A9" s="5">
        <f t="shared" si="0"/>
        <v>120</v>
      </c>
      <c r="B9" s="5">
        <v>73</v>
      </c>
    </row>
    <row r="10" spans="1:6" x14ac:dyDescent="0.2">
      <c r="A10" s="5">
        <f t="shared" si="0"/>
        <v>135</v>
      </c>
      <c r="B10" s="5">
        <v>62</v>
      </c>
    </row>
    <row r="11" spans="1:6" x14ac:dyDescent="0.2">
      <c r="A11" s="5">
        <f t="shared" si="0"/>
        <v>150</v>
      </c>
      <c r="B11" s="5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协方差</vt:lpstr>
      <vt:lpstr>相关系数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2019-04-07T12:21:49Z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a870ce7f-c2f5-4898-99ea-37a2180b4d76</vt:lpwstr>
  </property>
</Properties>
</file>