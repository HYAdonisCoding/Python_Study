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2260" windowHeight="12645"/>
  </bookViews>
  <sheets>
    <sheet name="回归" sheetId="1" r:id="rId1"/>
    <sheet name="分析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<sst xmlns="http://schemas.openxmlformats.org/spreadsheetml/2006/main" count="40" uniqueCount="32">
  <si>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id</t>
    <phoneticPr fontId="1" type="noConversion"/>
  </si>
  <si>
    <t>height</t>
  </si>
  <si>
    <t>weight</t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</si>
  <si>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</si>
  <si>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</si>
  <si>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</si>
  <si>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</si>
  <si>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</si>
  <si>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</si>
  <si>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</si>
  <si>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</si>
  <si>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</si>
  <si>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</si>
  <si>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</si>
  <si>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</si>
  <si>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</si>
  <si>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</si>
  <si>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</si>
  <si>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</si>
  <si>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</si>
  <si>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</si>
  <si>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下限 95.0%</t>
  </si>
  <si>
    <t>上限 95.0%</t>
  </si>
  <si>
    <t>RESIDUAL OUTPUT</t>
  </si>
  <si>
    <t>预测 weight</t>
  </si>
  <si>
    <t>标准残差</t>
  </si>
  <si>
    <t>PROBABILITY OUTPUT</t>
  </si>
  <si>
    <t>百分比排位</t>
  </si>
  <si>
    <t>t Stat</t>
    <phoneticPr fontId="1" type="noConversion"/>
  </si>
  <si>
    <t>P-value</t>
    <phoneticPr fontId="1" type="noConversion"/>
  </si>
  <si>
    <t>Lower 95%</t>
    <phoneticPr fontId="1" type="noConversion"/>
  </si>
  <si>
    <t>Upper 95%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</si>
</sst>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</cellXfs>
  <cellStyles count="2">
    <cellStyle name="常规" xfId="0" builtinId="0"/>
    <cellStyle name="常规 29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女性身高与体重回归分析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836599339301151"/>
          <c:y val="0.17389776121245037"/>
          <c:w val="0.7904031593267381"/>
          <c:h val="0.641232855297476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349881770841559"/>
                  <c:y val="-3.40377732503716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宋体" panose="02010600030101010101" pitchFamily="2" charset="-122"/>
                      <a:ea typeface="宋体" panose="02010600030101010101" pitchFamily="2" charset="-122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回归!$B$2:$B$16</c:f>
              <c:numCache>
                <c:formatCode>General</c:formatCode>
                <c:ptCount val="15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  <c:pt idx="12">
                  <c:v>168</c:v>
                </c:pt>
                <c:pt idx="13">
                  <c:v>169</c:v>
                </c:pt>
                <c:pt idx="14">
                  <c:v>170</c:v>
                </c:pt>
              </c:numCache>
            </c:numRef>
          </c:xVal>
          <c:yVal>
            <c:numRef>
              <c:f>回归!$C$2:$C$16</c:f>
              <c:numCache>
                <c:formatCode>0.0_ </c:formatCode>
                <c:ptCount val="15"/>
                <c:pt idx="0">
                  <c:v>86.1</c:v>
                </c:pt>
                <c:pt idx="1">
                  <c:v>89.7</c:v>
                </c:pt>
                <c:pt idx="2">
                  <c:v>90</c:v>
                </c:pt>
                <c:pt idx="3">
                  <c:v>92.5</c:v>
                </c:pt>
                <c:pt idx="4">
                  <c:v>93</c:v>
                </c:pt>
                <c:pt idx="5">
                  <c:v>95</c:v>
                </c:pt>
                <c:pt idx="6">
                  <c:v>95.3</c:v>
                </c:pt>
                <c:pt idx="7">
                  <c:v>98</c:v>
                </c:pt>
                <c:pt idx="8">
                  <c:v>99</c:v>
                </c:pt>
                <c:pt idx="9">
                  <c:v>101.6</c:v>
                </c:pt>
                <c:pt idx="10">
                  <c:v>102.2</c:v>
                </c:pt>
                <c:pt idx="11">
                  <c:v>103.1</c:v>
                </c:pt>
                <c:pt idx="12">
                  <c:v>106.2</c:v>
                </c:pt>
                <c:pt idx="13">
                  <c:v>107.7</c:v>
                </c:pt>
                <c:pt idx="14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E-459C-ABCF-A06D951C1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170456"/>
        <c:axId val="542170784"/>
      </c:scatterChart>
      <c:valAx>
        <c:axId val="54217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身高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42170784"/>
        <c:crosses val="autoZero"/>
        <c:crossBetween val="midCat"/>
      </c:valAx>
      <c:valAx>
        <c:axId val="542170784"/>
        <c:scaling>
          <c:orientation val="minMax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体重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42170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height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分析结果!$B$2:$B$16</c:f>
              <c:numCache>
                <c:formatCode>General</c:formatCode>
                <c:ptCount val="15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  <c:pt idx="12">
                  <c:v>168</c:v>
                </c:pt>
                <c:pt idx="13">
                  <c:v>169</c:v>
                </c:pt>
                <c:pt idx="14">
                  <c:v>170</c:v>
                </c:pt>
              </c:numCache>
            </c:numRef>
          </c:xVal>
          <c:yVal>
            <c:numRef>
              <c:f>分析结果!$G$26:$G$40</c:f>
              <c:numCache>
                <c:formatCode>General</c:formatCode>
                <c:ptCount val="15"/>
                <c:pt idx="0">
                  <c:v>-0.99666666666664128</c:v>
                </c:pt>
                <c:pt idx="1">
                  <c:v>1.0704761904762137</c:v>
                </c:pt>
                <c:pt idx="2">
                  <c:v>-0.16238095238094274</c:v>
                </c:pt>
                <c:pt idx="3">
                  <c:v>0.8047619047619321</c:v>
                </c:pt>
                <c:pt idx="4">
                  <c:v>-0.22809523809522148</c:v>
                </c:pt>
                <c:pt idx="5">
                  <c:v>0.23904761904765337</c:v>
                </c:pt>
                <c:pt idx="6">
                  <c:v>-0.99380952380950305</c:v>
                </c:pt>
                <c:pt idx="7">
                  <c:v>0.17333333333334622</c:v>
                </c:pt>
                <c:pt idx="8">
                  <c:v>-0.35952380952377894</c:v>
                </c:pt>
                <c:pt idx="9">
                  <c:v>0.7076190476190618</c:v>
                </c:pt>
                <c:pt idx="10">
                  <c:v>-0.22523809523805483</c:v>
                </c:pt>
                <c:pt idx="11">
                  <c:v>-0.85809523809521693</c:v>
                </c:pt>
                <c:pt idx="12">
                  <c:v>0.70904761904763802</c:v>
                </c:pt>
                <c:pt idx="13">
                  <c:v>0.67619047619048445</c:v>
                </c:pt>
                <c:pt idx="14">
                  <c:v>-0.55666666666661513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0-45F8-AF40-DE8E7FFC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849376"/>
        <c:axId val="679849704"/>
      </c:scatterChart>
      <c:valAx>
        <c:axId val="67984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79849704"/>
        <c:crosses val="autoZero"/>
        <c:crossBetween val="midCat"/>
      </c:valAx>
      <c:valAx>
        <c:axId val="679849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残差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798493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宋体" panose="02010600030101010101" pitchFamily="2" charset="-122"/>
                <a:ea typeface="宋体" panose="02010600030101010101" pitchFamily="2" charset="-122"/>
              </a:defRPr>
            </a:pPr>
            <a:r>
              <a:rPr lang="en-US" sz="1200">
                <a:latin typeface="宋体" panose="02010600030101010101" pitchFamily="2" charset="-122"/>
                <a:ea typeface="宋体" panose="02010600030101010101" pitchFamily="2" charset="-122"/>
              </a:rPr>
              <a:t>height Line Fit  Plot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352175806857217"/>
          <c:y val="0.22316287567532353"/>
          <c:w val="0.77979050939848327"/>
          <c:h val="0.4342004026154706"/>
        </c:manualLayout>
      </c:layout>
      <c:scatterChart>
        <c:scatterStyle val="lineMarker"/>
        <c:varyColors val="0"/>
        <c:ser>
          <c:idx val="0"/>
          <c:order val="0"/>
          <c:tx>
            <c:v>weight</c:v>
          </c:tx>
          <c:spPr>
            <a:ln w="19050">
              <a:noFill/>
            </a:ln>
          </c:spPr>
          <c:xVal>
            <c:numRef>
              <c:f>分析结果!$B$2:$B$16</c:f>
              <c:numCache>
                <c:formatCode>General</c:formatCode>
                <c:ptCount val="15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  <c:pt idx="12">
                  <c:v>168</c:v>
                </c:pt>
                <c:pt idx="13">
                  <c:v>169</c:v>
                </c:pt>
                <c:pt idx="14">
                  <c:v>170</c:v>
                </c:pt>
              </c:numCache>
            </c:numRef>
          </c:xVal>
          <c:yVal>
            <c:numRef>
              <c:f>分析结果!$C$2:$C$16</c:f>
              <c:numCache>
                <c:formatCode>0.0_ </c:formatCode>
                <c:ptCount val="15"/>
                <c:pt idx="0">
                  <c:v>86.1</c:v>
                </c:pt>
                <c:pt idx="1">
                  <c:v>89.7</c:v>
                </c:pt>
                <c:pt idx="2">
                  <c:v>90</c:v>
                </c:pt>
                <c:pt idx="3">
                  <c:v>92.5</c:v>
                </c:pt>
                <c:pt idx="4">
                  <c:v>93</c:v>
                </c:pt>
                <c:pt idx="5">
                  <c:v>95</c:v>
                </c:pt>
                <c:pt idx="6">
                  <c:v>95.3</c:v>
                </c:pt>
                <c:pt idx="7">
                  <c:v>98</c:v>
                </c:pt>
                <c:pt idx="8">
                  <c:v>99</c:v>
                </c:pt>
                <c:pt idx="9">
                  <c:v>101.6</c:v>
                </c:pt>
                <c:pt idx="10">
                  <c:v>102.2</c:v>
                </c:pt>
                <c:pt idx="11">
                  <c:v>103.1</c:v>
                </c:pt>
                <c:pt idx="12">
                  <c:v>106.2</c:v>
                </c:pt>
                <c:pt idx="13">
                  <c:v>107.7</c:v>
                </c:pt>
                <c:pt idx="14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C-494A-ACAD-7EA3A8658A8C}"/>
            </c:ext>
          </c:extLst>
        </c:ser>
        <c:ser>
          <c:idx val="1"/>
          <c:order val="1"/>
          <c:tx>
            <c:v>预测 weight</c:v>
          </c:tx>
          <c:spPr>
            <a:ln w="19050">
              <a:noFill/>
            </a:ln>
          </c:spPr>
          <c:xVal>
            <c:numRef>
              <c:f>分析结果!$B$2:$B$16</c:f>
              <c:numCache>
                <c:formatCode>General</c:formatCode>
                <c:ptCount val="15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  <c:pt idx="12">
                  <c:v>168</c:v>
                </c:pt>
                <c:pt idx="13">
                  <c:v>169</c:v>
                </c:pt>
                <c:pt idx="14">
                  <c:v>170</c:v>
                </c:pt>
              </c:numCache>
            </c:numRef>
          </c:xVal>
          <c:yVal>
            <c:numRef>
              <c:f>分析结果!$F$26:$F$40</c:f>
              <c:numCache>
                <c:formatCode>General</c:formatCode>
                <c:ptCount val="15"/>
                <c:pt idx="0">
                  <c:v>87.096666666666636</c:v>
                </c:pt>
                <c:pt idx="1">
                  <c:v>88.629523809523789</c:v>
                </c:pt>
                <c:pt idx="2">
                  <c:v>90.162380952380943</c:v>
                </c:pt>
                <c:pt idx="3">
                  <c:v>91.695238095238068</c:v>
                </c:pt>
                <c:pt idx="4">
                  <c:v>93.228095238095221</c:v>
                </c:pt>
                <c:pt idx="5">
                  <c:v>94.760952380952347</c:v>
                </c:pt>
                <c:pt idx="6">
                  <c:v>96.2938095238095</c:v>
                </c:pt>
                <c:pt idx="7">
                  <c:v>97.826666666666654</c:v>
                </c:pt>
                <c:pt idx="8">
                  <c:v>99.359523809523779</c:v>
                </c:pt>
                <c:pt idx="9">
                  <c:v>100.89238095238093</c:v>
                </c:pt>
                <c:pt idx="10">
                  <c:v>102.42523809523806</c:v>
                </c:pt>
                <c:pt idx="11">
                  <c:v>103.95809523809521</c:v>
                </c:pt>
                <c:pt idx="12">
                  <c:v>105.49095238095236</c:v>
                </c:pt>
                <c:pt idx="13">
                  <c:v>107.02380952380952</c:v>
                </c:pt>
                <c:pt idx="14">
                  <c:v>108.55666666666662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1C-494A-ACAD-7EA3A865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854296"/>
        <c:axId val="679854624"/>
      </c:scatterChart>
      <c:valAx>
        <c:axId val="679854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79854624"/>
        <c:crosses val="autoZero"/>
        <c:crossBetween val="midCat"/>
      </c:valAx>
      <c:valAx>
        <c:axId val="679854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layout/>
          <c:overlay val="0"/>
        </c:title>
        <c:numFmt formatCode="0_ " sourceLinked="0"/>
        <c:majorTickMark val="out"/>
        <c:minorTickMark val="none"/>
        <c:tickLblPos val="nextTo"/>
        <c:crossAx val="6798542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172253757158731"/>
          <c:y val="0.87548433042105844"/>
          <c:w val="0.42978280508578026"/>
          <c:h val="0.12403794001828995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Normal Probability Plot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57196680966865"/>
          <c:y val="0.21755262438754028"/>
          <c:w val="0.79099369817623011"/>
          <c:h val="0.503415918372059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分析结果!$J$26:$J$40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分析结果!$K$26:$K$40</c:f>
              <c:numCache>
                <c:formatCode>General</c:formatCode>
                <c:ptCount val="15"/>
                <c:pt idx="0">
                  <c:v>86.1</c:v>
                </c:pt>
                <c:pt idx="1">
                  <c:v>89.7</c:v>
                </c:pt>
                <c:pt idx="2">
                  <c:v>90</c:v>
                </c:pt>
                <c:pt idx="3">
                  <c:v>92.5</c:v>
                </c:pt>
                <c:pt idx="4">
                  <c:v>93</c:v>
                </c:pt>
                <c:pt idx="5">
                  <c:v>95</c:v>
                </c:pt>
                <c:pt idx="6">
                  <c:v>95.3</c:v>
                </c:pt>
                <c:pt idx="7">
                  <c:v>98</c:v>
                </c:pt>
                <c:pt idx="8">
                  <c:v>99</c:v>
                </c:pt>
                <c:pt idx="9">
                  <c:v>101.6</c:v>
                </c:pt>
                <c:pt idx="10">
                  <c:v>102.2</c:v>
                </c:pt>
                <c:pt idx="11">
                  <c:v>103.1</c:v>
                </c:pt>
                <c:pt idx="12">
                  <c:v>106.2</c:v>
                </c:pt>
                <c:pt idx="13">
                  <c:v>107.7</c:v>
                </c:pt>
                <c:pt idx="14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EF-4EDD-B161-0C2DD710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856592"/>
        <c:axId val="679856920"/>
      </c:scatterChart>
      <c:valAx>
        <c:axId val="67985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79856920"/>
        <c:crosses val="autoZero"/>
        <c:crossBetween val="midCat"/>
      </c:valAx>
      <c:valAx>
        <c:axId val="679856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weight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798565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128586</xdr:colOff>
      <xdr:row>0</xdr:row>
      <xdr:rowOff>152400</xdr:rowOff>
    </xdr:from>
    <xdr:to>
      <xdr:col>10</xdr:col>
      <xdr:colOff>266700</xdr:colOff>
      <xdr:row>15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52B41A-8EF6-49EF-983E-B2E52BCC7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118539</xdr:colOff>
      <xdr:row>2</xdr:row>
      <xdr:rowOff>3363</xdr:rowOff>
    </xdr:from>
    <xdr:to>
      <xdr:col>19</xdr:col>
      <xdr:colOff>461591</xdr:colOff>
      <xdr:row>13</xdr:row>
      <xdr:rowOff>61371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E03128-CB25-42F9-AF47-DCAB532EF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116858</xdr:colOff>
      <xdr:row>14</xdr:row>
      <xdr:rowOff>20736</xdr:rowOff>
    </xdr:from>
    <xdr:to>
      <xdr:col>19</xdr:col>
      <xdr:colOff>465673</xdr:colOff>
      <xdr:row>25</xdr:row>
      <xdr:rowOff>57476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B99C84-7CC3-413F-A0CD-59718504D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115799</xdr:colOff>
      <xdr:row>26</xdr:row>
      <xdr:rowOff>9528</xdr:rowOff>
    </xdr:from>
    <xdr:to>
      <xdr:col>19</xdr:col>
      <xdr:colOff>465667</xdr:colOff>
      <xdr:row>37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556A9F-24E9-44B0-ADAA-18D7A3774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6"/>
  <sheetViews>
    <sheetView showGridLines="0" tabSelected="1" workbookViewId="0">
      <selection activeCell="C7" sqref="A1:C16"/>
    </sheetView>
  </sheetViews>
  <sheetFormatPr defaultRowHeight="15" customHeight="1" x14ac:dyDescent="0.2"/>
  <cols>
    <col min="1" max="1" width="9" style="5"/>
    <col min="2" max="2" width="9" style="4"/>
    <col min="3" max="3" width="9" style="6"/>
    <col min="4" max="16384" width="9" style="4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2">
        <v>1</v>
      </c>
      <c r="B2" s="2">
        <v>156</v>
      </c>
      <c r="C2" s="3">
        <v>86.1</v>
      </c>
    </row>
    <row r="3" spans="1:3" ht="15" customHeight="1" x14ac:dyDescent="0.2">
      <c r="A3" s="2">
        <v>2</v>
      </c>
      <c r="B3" s="2">
        <v>157</v>
      </c>
      <c r="C3" s="3">
        <v>89.7</v>
      </c>
    </row>
    <row r="4" spans="1:3" ht="15" customHeight="1" x14ac:dyDescent="0.2">
      <c r="A4" s="2">
        <v>3</v>
      </c>
      <c r="B4" s="2">
        <v>158</v>
      </c>
      <c r="C4" s="3">
        <v>90</v>
      </c>
    </row>
    <row r="5" spans="1:3" ht="15" customHeight="1" x14ac:dyDescent="0.2">
      <c r="A5" s="2">
        <v>4</v>
      </c>
      <c r="B5" s="2">
        <v>159</v>
      </c>
      <c r="C5" s="3">
        <v>92.5</v>
      </c>
    </row>
    <row r="6" spans="1:3" ht="15" customHeight="1" x14ac:dyDescent="0.2">
      <c r="A6" s="2">
        <v>5</v>
      </c>
      <c r="B6" s="2">
        <v>160</v>
      </c>
      <c r="C6" s="3">
        <v>93</v>
      </c>
    </row>
    <row r="7" spans="1:3" ht="15" customHeight="1" x14ac:dyDescent="0.2">
      <c r="A7" s="2">
        <v>6</v>
      </c>
      <c r="B7" s="2">
        <v>161</v>
      </c>
      <c r="C7" s="3">
        <v>95</v>
      </c>
    </row>
    <row r="8" spans="1:3" ht="15" customHeight="1" x14ac:dyDescent="0.2">
      <c r="A8" s="2">
        <v>7</v>
      </c>
      <c r="B8" s="2">
        <v>162</v>
      </c>
      <c r="C8" s="3">
        <v>95.3</v>
      </c>
    </row>
    <row r="9" spans="1:3" ht="15" customHeight="1" x14ac:dyDescent="0.2">
      <c r="A9" s="2">
        <v>8</v>
      </c>
      <c r="B9" s="2">
        <v>163</v>
      </c>
      <c r="C9" s="3">
        <v>98</v>
      </c>
    </row>
    <row r="10" spans="1:3" ht="15" customHeight="1" x14ac:dyDescent="0.2">
      <c r="A10" s="2">
        <v>9</v>
      </c>
      <c r="B10" s="2">
        <v>164</v>
      </c>
      <c r="C10" s="3">
        <v>99</v>
      </c>
    </row>
    <row r="11" spans="1:3" ht="15" customHeight="1" x14ac:dyDescent="0.2">
      <c r="A11" s="2">
        <v>10</v>
      </c>
      <c r="B11" s="2">
        <v>165</v>
      </c>
      <c r="C11" s="3">
        <v>101.6</v>
      </c>
    </row>
    <row r="12" spans="1:3" ht="15" customHeight="1" x14ac:dyDescent="0.2">
      <c r="A12" s="2">
        <v>11</v>
      </c>
      <c r="B12" s="2">
        <v>166</v>
      </c>
      <c r="C12" s="3">
        <v>102.2</v>
      </c>
    </row>
    <row r="13" spans="1:3" ht="15" customHeight="1" x14ac:dyDescent="0.2">
      <c r="A13" s="2">
        <v>12</v>
      </c>
      <c r="B13" s="2">
        <v>167</v>
      </c>
      <c r="C13" s="3">
        <v>103.1</v>
      </c>
    </row>
    <row r="14" spans="1:3" ht="15" customHeight="1" x14ac:dyDescent="0.2">
      <c r="A14" s="2">
        <v>13</v>
      </c>
      <c r="B14" s="2">
        <v>168</v>
      </c>
      <c r="C14" s="3">
        <v>106.2</v>
      </c>
    </row>
    <row r="15" spans="1:3" ht="15" customHeight="1" x14ac:dyDescent="0.2">
      <c r="A15" s="2">
        <v>14</v>
      </c>
      <c r="B15" s="2">
        <v>169</v>
      </c>
      <c r="C15" s="3">
        <v>107.7</v>
      </c>
    </row>
    <row r="16" spans="1:3" ht="15" customHeight="1" x14ac:dyDescent="0.2">
      <c r="A16" s="2">
        <v>15</v>
      </c>
      <c r="B16" s="2">
        <v>170</v>
      </c>
      <c r="C16" s="3">
        <v>108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zoomScale="90" zoomScaleNormal="90" workbookViewId="0">
      <selection activeCell="F33" sqref="F33"/>
    </sheetView>
  </sheetViews>
  <sheetFormatPr defaultRowHeight="14.1" customHeight="1" x14ac:dyDescent="0.2"/>
  <cols>
    <col min="1" max="1" width="3.875" style="5" bestFit="1" customWidth="1"/>
    <col min="2" max="3" width="8.375" style="5" bestFit="1" customWidth="1"/>
    <col min="4" max="4" width="3.625" style="5" customWidth="1"/>
    <col min="5" max="5" width="16.5" style="7" customWidth="1"/>
    <col min="6" max="8" width="12.25" style="7" bestFit="1" customWidth="1"/>
    <col min="9" max="9" width="11.25" style="7" bestFit="1" customWidth="1"/>
    <col min="10" max="10" width="13.625" style="7" customWidth="1"/>
    <col min="11" max="13" width="12.25" style="7" bestFit="1" customWidth="1"/>
    <col min="14" max="16384" width="9" style="5"/>
  </cols>
  <sheetData>
    <row r="1" spans="1:10" ht="14.1" customHeight="1" x14ac:dyDescent="0.2">
      <c r="A1" s="11" t="s">
        <v>0</v>
      </c>
      <c r="B1" s="11" t="s">
        <v>1</v>
      </c>
      <c r="C1" s="11" t="s">
        <v>2</v>
      </c>
    </row>
    <row r="2" spans="1:10" ht="14.1" customHeight="1" x14ac:dyDescent="0.2">
      <c r="A2" s="12">
        <v>1</v>
      </c>
      <c r="B2" s="12">
        <v>156</v>
      </c>
      <c r="C2" s="13">
        <v>86.1</v>
      </c>
      <c r="E2" s="7" t="s">
        <v>3</v>
      </c>
    </row>
    <row r="3" spans="1:10" ht="14.1" customHeight="1" thickBot="1" x14ac:dyDescent="0.25">
      <c r="A3" s="12">
        <v>2</v>
      </c>
      <c r="B3" s="12">
        <v>157</v>
      </c>
      <c r="C3" s="13">
        <v>89.7</v>
      </c>
    </row>
    <row r="4" spans="1:10" ht="14.1" customHeight="1" x14ac:dyDescent="0.2">
      <c r="A4" s="12">
        <v>3</v>
      </c>
      <c r="B4" s="12">
        <v>158</v>
      </c>
      <c r="C4" s="13">
        <v>90</v>
      </c>
      <c r="E4" s="8" t="s">
        <v>4</v>
      </c>
      <c r="F4" s="8"/>
    </row>
    <row r="5" spans="1:10" ht="14.1" customHeight="1" x14ac:dyDescent="0.2">
      <c r="A5" s="12">
        <v>4</v>
      </c>
      <c r="B5" s="12">
        <v>159</v>
      </c>
      <c r="C5" s="13">
        <v>92.5</v>
      </c>
      <c r="E5" s="9" t="s">
        <v>5</v>
      </c>
      <c r="F5" s="9">
        <v>0.99500123447022892</v>
      </c>
    </row>
    <row r="6" spans="1:10" ht="14.1" customHeight="1" x14ac:dyDescent="0.2">
      <c r="A6" s="12">
        <v>5</v>
      </c>
      <c r="B6" s="12">
        <v>160</v>
      </c>
      <c r="C6" s="13">
        <v>93</v>
      </c>
      <c r="E6" s="9" t="s">
        <v>6</v>
      </c>
      <c r="F6" s="9">
        <v>0.99002745659727898</v>
      </c>
    </row>
    <row r="7" spans="1:10" ht="14.1" customHeight="1" x14ac:dyDescent="0.2">
      <c r="A7" s="12">
        <v>6</v>
      </c>
      <c r="B7" s="12">
        <v>161</v>
      </c>
      <c r="C7" s="13">
        <v>95</v>
      </c>
      <c r="E7" s="9" t="s">
        <v>7</v>
      </c>
      <c r="F7" s="9">
        <v>0.98926033787399326</v>
      </c>
    </row>
    <row r="8" spans="1:10" ht="14.1" customHeight="1" x14ac:dyDescent="0.2">
      <c r="A8" s="12">
        <v>7</v>
      </c>
      <c r="B8" s="12">
        <v>162</v>
      </c>
      <c r="C8" s="13">
        <v>95.3</v>
      </c>
      <c r="E8" s="9" t="s">
        <v>8</v>
      </c>
      <c r="F8" s="9">
        <v>0.71398381898534458</v>
      </c>
    </row>
    <row r="9" spans="1:10" ht="14.1" customHeight="1" thickBot="1" x14ac:dyDescent="0.25">
      <c r="A9" s="12">
        <v>8</v>
      </c>
      <c r="B9" s="12">
        <v>163</v>
      </c>
      <c r="C9" s="13">
        <v>98</v>
      </c>
      <c r="E9" s="10" t="s">
        <v>9</v>
      </c>
      <c r="F9" s="10">
        <v>15</v>
      </c>
    </row>
    <row r="10" spans="1:10" ht="14.1" customHeight="1" x14ac:dyDescent="0.2">
      <c r="A10" s="12">
        <v>9</v>
      </c>
      <c r="B10" s="12">
        <v>164</v>
      </c>
      <c r="C10" s="13">
        <v>99</v>
      </c>
    </row>
    <row r="11" spans="1:10" ht="14.1" customHeight="1" thickBot="1" x14ac:dyDescent="0.25">
      <c r="A11" s="12">
        <v>10</v>
      </c>
      <c r="B11" s="12">
        <v>165</v>
      </c>
      <c r="C11" s="13">
        <v>101.6</v>
      </c>
      <c r="E11" s="7" t="s">
        <v>10</v>
      </c>
    </row>
    <row r="12" spans="1:10" ht="14.1" customHeight="1" x14ac:dyDescent="0.2">
      <c r="A12" s="12">
        <v>11</v>
      </c>
      <c r="B12" s="12">
        <v>166</v>
      </c>
      <c r="C12" s="13">
        <v>102.2</v>
      </c>
      <c r="E12" s="8"/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 ht="14.1" customHeight="1" x14ac:dyDescent="0.2">
      <c r="A13" s="12">
        <v>12</v>
      </c>
      <c r="B13" s="12">
        <v>167</v>
      </c>
      <c r="C13" s="13">
        <v>103.1</v>
      </c>
      <c r="E13" s="9" t="s">
        <v>11</v>
      </c>
      <c r="F13" s="9">
        <v>1</v>
      </c>
      <c r="G13" s="9">
        <v>657.90228571428588</v>
      </c>
      <c r="H13" s="9">
        <v>657.90228571428588</v>
      </c>
      <c r="I13" s="9">
        <v>1290.5791848700762</v>
      </c>
      <c r="J13" s="9">
        <v>2.1416499258347722E-14</v>
      </c>
    </row>
    <row r="14" spans="1:10" ht="14.1" customHeight="1" x14ac:dyDescent="0.2">
      <c r="A14" s="12">
        <v>13</v>
      </c>
      <c r="B14" s="12">
        <v>168</v>
      </c>
      <c r="C14" s="13">
        <v>106.2</v>
      </c>
      <c r="E14" s="9" t="s">
        <v>12</v>
      </c>
      <c r="F14" s="9">
        <v>13</v>
      </c>
      <c r="G14" s="9">
        <v>6.6270476190476657</v>
      </c>
      <c r="H14" s="9">
        <v>0.50977289377289736</v>
      </c>
      <c r="I14" s="9"/>
      <c r="J14" s="9"/>
    </row>
    <row r="15" spans="1:10" ht="14.1" customHeight="1" thickBot="1" x14ac:dyDescent="0.25">
      <c r="A15" s="12">
        <v>14</v>
      </c>
      <c r="B15" s="12">
        <v>169</v>
      </c>
      <c r="C15" s="13">
        <v>107.7</v>
      </c>
      <c r="E15" s="10" t="s">
        <v>13</v>
      </c>
      <c r="F15" s="10">
        <v>14</v>
      </c>
      <c r="G15" s="10">
        <v>664.52933333333351</v>
      </c>
      <c r="H15" s="10"/>
      <c r="I15" s="10"/>
      <c r="J15" s="10"/>
    </row>
    <row r="16" spans="1:10" ht="14.1" customHeight="1" thickBot="1" x14ac:dyDescent="0.25">
      <c r="A16" s="12">
        <v>15</v>
      </c>
      <c r="B16" s="12">
        <v>170</v>
      </c>
      <c r="C16" s="13">
        <v>108</v>
      </c>
    </row>
    <row r="17" spans="5:13" ht="14.1" customHeight="1" x14ac:dyDescent="0.2">
      <c r="E17" s="8"/>
      <c r="F17" s="8" t="s">
        <v>20</v>
      </c>
      <c r="G17" s="8" t="s">
        <v>8</v>
      </c>
      <c r="H17" s="8" t="s">
        <v>28</v>
      </c>
      <c r="I17" s="8" t="s">
        <v>29</v>
      </c>
      <c r="J17" s="8" t="s">
        <v>30</v>
      </c>
      <c r="K17" s="8" t="s">
        <v>31</v>
      </c>
      <c r="L17" s="8" t="s">
        <v>21</v>
      </c>
      <c r="M17" s="8" t="s">
        <v>22</v>
      </c>
    </row>
    <row r="18" spans="5:13" ht="14.1" customHeight="1" x14ac:dyDescent="0.2">
      <c r="E18" s="9" t="s">
        <v>14</v>
      </c>
      <c r="F18" s="9">
        <v>-152.02904761904762</v>
      </c>
      <c r="G18" s="9">
        <v>6.9574399477249917</v>
      </c>
      <c r="H18" s="9">
        <v>-21.851291388976989</v>
      </c>
      <c r="I18" s="9">
        <v>1.2395727898485078E-11</v>
      </c>
      <c r="J18" s="9">
        <v>-167.05968281133482</v>
      </c>
      <c r="K18" s="9">
        <v>-136.99841242676041</v>
      </c>
      <c r="L18" s="9">
        <v>-167.05968281133482</v>
      </c>
      <c r="M18" s="9">
        <v>-136.99841242676041</v>
      </c>
    </row>
    <row r="19" spans="5:13" ht="14.1" customHeight="1" thickBot="1" x14ac:dyDescent="0.25">
      <c r="E19" s="10" t="s">
        <v>1</v>
      </c>
      <c r="F19" s="10">
        <v>1.53285714285714</v>
      </c>
      <c r="G19" s="10">
        <v>4.2668694352655641E-2</v>
      </c>
      <c r="H19" s="10">
        <v>35.924632007441303</v>
      </c>
      <c r="I19" s="10">
        <v>2.1416499258347722E-14</v>
      </c>
      <c r="J19" s="10">
        <v>1.4406770329654746</v>
      </c>
      <c r="K19" s="10">
        <v>1.6250372527488108</v>
      </c>
      <c r="L19" s="10">
        <v>1.4406770329654746</v>
      </c>
      <c r="M19" s="10">
        <v>1.6250372527488108</v>
      </c>
    </row>
    <row r="23" spans="5:13" ht="14.1" customHeight="1" x14ac:dyDescent="0.2">
      <c r="E23" s="7" t="s">
        <v>23</v>
      </c>
      <c r="J23" s="7" t="s">
        <v>26</v>
      </c>
    </row>
    <row r="24" spans="5:13" ht="14.1" customHeight="1" thickBot="1" x14ac:dyDescent="0.25"/>
    <row r="25" spans="5:13" ht="14.1" customHeight="1" x14ac:dyDescent="0.2">
      <c r="E25" s="8" t="s">
        <v>9</v>
      </c>
      <c r="F25" s="8" t="s">
        <v>24</v>
      </c>
      <c r="G25" s="8" t="s">
        <v>12</v>
      </c>
      <c r="H25" s="8" t="s">
        <v>25</v>
      </c>
      <c r="J25" s="8" t="s">
        <v>27</v>
      </c>
      <c r="K25" s="8" t="s">
        <v>2</v>
      </c>
    </row>
    <row r="26" spans="5:13" ht="14.1" customHeight="1" x14ac:dyDescent="0.2">
      <c r="E26" s="9">
        <v>1</v>
      </c>
      <c r="F26" s="9">
        <v>87.096666666666636</v>
      </c>
      <c r="G26" s="9">
        <v>-0.99666666666664128</v>
      </c>
      <c r="H26" s="9">
        <v>-1.4486180951798322</v>
      </c>
      <c r="J26" s="9">
        <v>3.3333333333333335</v>
      </c>
      <c r="K26" s="9">
        <v>86.1</v>
      </c>
    </row>
    <row r="27" spans="5:13" ht="14.1" customHeight="1" x14ac:dyDescent="0.2">
      <c r="E27" s="9">
        <v>2</v>
      </c>
      <c r="F27" s="9">
        <v>88.629523809523789</v>
      </c>
      <c r="G27" s="9">
        <v>1.0704761904762137</v>
      </c>
      <c r="H27" s="9">
        <v>1.5558975049997212</v>
      </c>
      <c r="J27" s="9">
        <v>10</v>
      </c>
      <c r="K27" s="9">
        <v>89.7</v>
      </c>
    </row>
    <row r="28" spans="5:13" ht="14.1" customHeight="1" x14ac:dyDescent="0.2">
      <c r="E28" s="9">
        <v>3</v>
      </c>
      <c r="F28" s="9">
        <v>90.162380952380943</v>
      </c>
      <c r="G28" s="9">
        <v>-0.16238095238094274</v>
      </c>
      <c r="H28" s="9">
        <v>-0.23601470160358626</v>
      </c>
      <c r="J28" s="9">
        <v>16.666666666666668</v>
      </c>
      <c r="K28" s="9">
        <v>90</v>
      </c>
    </row>
    <row r="29" spans="5:13" ht="14.1" customHeight="1" x14ac:dyDescent="0.2">
      <c r="E29" s="9">
        <v>4</v>
      </c>
      <c r="F29" s="9">
        <v>91.695238095238068</v>
      </c>
      <c r="G29" s="9">
        <v>0.8047619047619321</v>
      </c>
      <c r="H29" s="9">
        <v>1.1696916296483812</v>
      </c>
      <c r="J29" s="9">
        <v>23.333333333333332</v>
      </c>
      <c r="K29" s="9">
        <v>92.5</v>
      </c>
    </row>
    <row r="30" spans="5:13" ht="14.1" customHeight="1" x14ac:dyDescent="0.2">
      <c r="E30" s="9">
        <v>5</v>
      </c>
      <c r="F30" s="9">
        <v>93.228095238095221</v>
      </c>
      <c r="G30" s="9">
        <v>-0.22809523809522148</v>
      </c>
      <c r="H30" s="9">
        <v>-0.3315279826044466</v>
      </c>
      <c r="J30" s="9">
        <v>30</v>
      </c>
      <c r="K30" s="9">
        <v>93</v>
      </c>
    </row>
    <row r="31" spans="5:13" ht="14.1" customHeight="1" x14ac:dyDescent="0.2">
      <c r="E31" s="9">
        <v>6</v>
      </c>
      <c r="F31" s="9">
        <v>94.760952380952347</v>
      </c>
      <c r="G31" s="9">
        <v>0.23904761904765337</v>
      </c>
      <c r="H31" s="9">
        <v>0.34744686277133241</v>
      </c>
      <c r="J31" s="9">
        <v>36.666666666666671</v>
      </c>
      <c r="K31" s="9">
        <v>95</v>
      </c>
    </row>
    <row r="32" spans="5:13" ht="14.1" customHeight="1" x14ac:dyDescent="0.2">
      <c r="E32" s="9">
        <v>7</v>
      </c>
      <c r="F32" s="9">
        <v>96.2938095238095</v>
      </c>
      <c r="G32" s="9">
        <v>-0.99380952380950305</v>
      </c>
      <c r="H32" s="9">
        <v>-1.444465343831975</v>
      </c>
      <c r="J32" s="9">
        <v>43.333333333333336</v>
      </c>
      <c r="K32" s="9">
        <v>95.3</v>
      </c>
    </row>
    <row r="33" spans="5:11" ht="14.1" customHeight="1" x14ac:dyDescent="0.2">
      <c r="E33" s="9">
        <v>8</v>
      </c>
      <c r="F33" s="9">
        <v>97.826666666666654</v>
      </c>
      <c r="G33" s="9">
        <v>0.17333333333334622</v>
      </c>
      <c r="H33" s="9">
        <v>0.25193358177043074</v>
      </c>
      <c r="J33" s="9">
        <v>50.000000000000007</v>
      </c>
      <c r="K33" s="9">
        <v>98</v>
      </c>
    </row>
    <row r="34" spans="5:11" ht="14.1" customHeight="1" x14ac:dyDescent="0.2">
      <c r="E34" s="9">
        <v>9</v>
      </c>
      <c r="F34" s="9">
        <v>99.359523809523779</v>
      </c>
      <c r="G34" s="9">
        <v>-0.35952380952377894</v>
      </c>
      <c r="H34" s="9">
        <v>-0.52255454460616724</v>
      </c>
      <c r="J34" s="9">
        <v>56.666666666666671</v>
      </c>
      <c r="K34" s="9">
        <v>99</v>
      </c>
    </row>
    <row r="35" spans="5:11" ht="14.1" customHeight="1" x14ac:dyDescent="0.2">
      <c r="E35" s="9">
        <v>10</v>
      </c>
      <c r="F35" s="9">
        <v>100.89238095238093</v>
      </c>
      <c r="G35" s="9">
        <v>0.7076190476190618</v>
      </c>
      <c r="H35" s="9">
        <v>1.0284980838209883</v>
      </c>
      <c r="J35" s="9">
        <v>63.333333333333336</v>
      </c>
      <c r="K35" s="9">
        <v>101.6</v>
      </c>
    </row>
    <row r="36" spans="5:11" ht="14.1" customHeight="1" x14ac:dyDescent="0.2">
      <c r="E36" s="9">
        <v>11</v>
      </c>
      <c r="F36" s="9">
        <v>102.42523809523806</v>
      </c>
      <c r="G36" s="9">
        <v>-0.22523809523805483</v>
      </c>
      <c r="H36" s="9">
        <v>-0.3273752312565481</v>
      </c>
      <c r="J36" s="9">
        <v>70</v>
      </c>
      <c r="K36" s="9">
        <v>102.2</v>
      </c>
    </row>
    <row r="37" spans="5:11" ht="14.1" customHeight="1" x14ac:dyDescent="0.2">
      <c r="E37" s="9">
        <v>12</v>
      </c>
      <c r="F37" s="9">
        <v>103.95809523809521</v>
      </c>
      <c r="G37" s="9">
        <v>-0.85809523809521693</v>
      </c>
      <c r="H37" s="9">
        <v>-1.2472096548084375</v>
      </c>
      <c r="J37" s="9">
        <v>76.666666666666671</v>
      </c>
      <c r="K37" s="9">
        <v>103.1</v>
      </c>
    </row>
    <row r="38" spans="5:11" ht="14.1" customHeight="1" x14ac:dyDescent="0.2">
      <c r="E38" s="9">
        <v>13</v>
      </c>
      <c r="F38" s="9">
        <v>105.49095238095236</v>
      </c>
      <c r="G38" s="9">
        <v>0.70904761904763802</v>
      </c>
      <c r="H38" s="9">
        <v>1.0305744594949273</v>
      </c>
      <c r="J38" s="9">
        <v>83.333333333333329</v>
      </c>
      <c r="K38" s="9">
        <v>106.2</v>
      </c>
    </row>
    <row r="39" spans="5:11" ht="14.1" customHeight="1" x14ac:dyDescent="0.2">
      <c r="E39" s="9">
        <v>14</v>
      </c>
      <c r="F39" s="9">
        <v>107.02380952380952</v>
      </c>
      <c r="G39" s="9">
        <v>0.67619047619048445</v>
      </c>
      <c r="H39" s="9">
        <v>0.98281781899447651</v>
      </c>
      <c r="J39" s="9">
        <v>90</v>
      </c>
      <c r="K39" s="9">
        <v>107.7</v>
      </c>
    </row>
    <row r="40" spans="5:11" ht="14.1" customHeight="1" thickBot="1" x14ac:dyDescent="0.25">
      <c r="E40" s="10">
        <v>15</v>
      </c>
      <c r="F40" s="10">
        <v>108.55666666666662</v>
      </c>
      <c r="G40" s="10">
        <v>-0.55666666666661513</v>
      </c>
      <c r="H40" s="10">
        <v>-0.8090943876087483</v>
      </c>
      <c r="J40" s="10">
        <v>96.666666666666671</v>
      </c>
      <c r="K40" s="10">
        <v>108</v>
      </c>
    </row>
  </sheetData>
  <sortState ref="K26:K40">
    <sortCondition ref="K26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回归</vt:lpstr>
      <vt:lpstr>分析结果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784397f2-91cf-40bf-a4f6-f57ff4e058ff</vt:lpwstr>
  </property>
</Properties>
</file>