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filterPrivacy="1"/>
  <xr:revisionPtr revIDLastSave="0" documentId="13_ncr:1_{99A246BD-8502-4815-9FAB-1F25B3C777ED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方法一" sheetId="1" r:id="rId1"/>
    <sheet name="方法二" sheetId="2" r:id="rId2"/>
    <sheet name="方法三" sheetId="3" r:id="rId3"/>
  </sheets>
  <definedNames>
    <definedName name="_xlcn.WorksheetConnection_方法二A1F11" hidden="1">方法二!$A$1:$F$11</definedName>
    <definedName name="_xlcn.WorksheetConnection_人数去重计数.xlsx表1" hidden="1">表1[]</definedName>
  </definedNames>
  <calcPr calcId="18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1" name="表1" connection="WorksheetConnection_人数去重计数.xlsx!表1"/>
          <x15:modelTable id="区域" name="区域" connection="WorksheetConnection_方法二!$A$1:$F$11"/>
        </x15:modelTables>
      </x15:dataModel>
    </ext>
  </extLst>
</workbook>
</file>

<file path=xl/calcChain.xml><?xml version="1.0" encoding="utf-8"?>
<calcChain xmlns="http://schemas.openxmlformats.org/spreadsheetml/2006/main">
  <c r="N2" i="1" l="1"/>
  <c r="M2" i="1"/>
  <c r="L2" i="1"/>
  <c r="L3" i="1" l="1"/>
  <c r="L4" i="1"/>
  <c r="L5" i="1"/>
  <c r="N3" i="1"/>
  <c r="N4" i="1"/>
  <c r="N5" i="1"/>
  <c r="M3" i="1"/>
  <c r="M4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日期、用户字段去重后的数据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数据模型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方法二!$A$1:$F$11" type="102" refreshedVersion="6" minRefreshableVersion="5">
    <extLst>
      <ext xmlns:x15="http://schemas.microsoft.com/office/spreadsheetml/2010/11/main" uri="{DE250136-89BD-433C-8126-D09CA5730AF9}">
        <x15:connection id="区域" autoDelete="1">
          <x15:rangePr sourceName="_xlcn.WorksheetConnection_方法二A1F11"/>
        </x15:connection>
      </ext>
    </extLst>
  </connection>
  <connection id="3" xr16:uid="{00000000-0015-0000-FFFF-FFFF02000000}" name="WorksheetConnection_人数去重计数.xlsx!表1" type="102" refreshedVersion="6" minRefreshableVersion="5">
    <extLst>
      <ext xmlns:x15="http://schemas.microsoft.com/office/spreadsheetml/2010/11/main" uri="{DE250136-89BD-433C-8126-D09CA5730AF9}">
        <x15:connection id="表1">
          <x15:rangePr sourceName="_xlcn.WorksheetConnection_人数去重计数.xlsx表1"/>
        </x15:connection>
      </ext>
    </extLst>
  </connection>
</connections>
</file>

<file path=xl/sharedStrings.xml><?xml version="1.0" encoding="utf-8"?>
<sst xmlns="http://schemas.openxmlformats.org/spreadsheetml/2006/main" count="100" uniqueCount="28">
  <si>
    <t>日期</t>
  </si>
  <si>
    <t>用户</t>
  </si>
  <si>
    <t>商品名称</t>
  </si>
  <si>
    <t>单价</t>
  </si>
  <si>
    <t>数量</t>
  </si>
  <si>
    <t>金额</t>
  </si>
  <si>
    <t>张三</t>
  </si>
  <si>
    <t>大米</t>
  </si>
  <si>
    <t>李四</t>
  </si>
  <si>
    <t>衣服</t>
  </si>
  <si>
    <t>毛巾</t>
  </si>
  <si>
    <t>裤子</t>
  </si>
  <si>
    <t>鞋子</t>
  </si>
  <si>
    <t>王五</t>
  </si>
  <si>
    <t>苹果</t>
  </si>
  <si>
    <t>剃须刀</t>
  </si>
  <si>
    <t>洗脸盆</t>
  </si>
  <si>
    <t>拖把</t>
  </si>
  <si>
    <t>茶杯</t>
  </si>
  <si>
    <t>消费人数</t>
    <phoneticPr fontId="1" type="noConversion"/>
  </si>
  <si>
    <t>消费次数</t>
    <phoneticPr fontId="1" type="noConversion"/>
  </si>
  <si>
    <t>消费金额</t>
    <phoneticPr fontId="1" type="noConversion"/>
  </si>
  <si>
    <t>行标签</t>
  </si>
  <si>
    <t>总计</t>
  </si>
  <si>
    <t>以下项目的总和:金额</t>
  </si>
  <si>
    <t>以下项目的计数:商品名称</t>
  </si>
  <si>
    <t>以下项目的非重复计数:用户</t>
  </si>
  <si>
    <t>消费人数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</si>
</sst>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pivotButton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pivotButton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常规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77"/>
      <tableStyleElement type="headerRow" dxfId="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者" refreshedDate="43405.011306712964" backgroundQuery="1" createdVersion="6" refreshedVersion="6" minRefreshableVersion="3" recordCount="0" supportSubquery="1" supportAdvancedDrill="1" xr:uid="{00000000-000A-0000-FFFF-FFFF00000000}">
  <cacheSource type="external" connectionId="1"/>
  <cacheFields count="4">
    <cacheField name="[区域].[日期].[日期]" caption="日期" numFmtId="0" hierarchy="6" level="1">
      <sharedItems containsSemiMixedTypes="0" containsNonDate="0" containsDate="1" containsString="0" minDate="2018-03-18T00:00:00" maxDate="2018-03-22T00:00:00" count="4">
        <d v="2018-03-18T00:00:00"/>
        <d v="2018-03-19T00:00:00"/>
        <d v="2018-03-20T00:00:00"/>
        <d v="2018-03-21T00:00:00"/>
      </sharedItems>
    </cacheField>
    <cacheField name="[Measures].[以下项目的总和:金额 2]" caption="以下项目的总和:金额 2" numFmtId="0" hierarchy="19" level="32767"/>
    <cacheField name="[Measures].[以下项目的计数:商品名称 2]" caption="以下项目的计数:商品名称 2" numFmtId="0" hierarchy="21" level="32767"/>
    <cacheField name="[Measures].[以下项目的非重复计数:用户]" caption="以下项目的非重复计数:用户" numFmtId="0" hierarchy="22" level="32767"/>
  </cacheFields>
  <cacheHierarchies count="23">
    <cacheHierarchy uniqueName="[表1].[日期]" caption="日期" attribute="1" time="1" defaultMemberUniqueName="[表1].[日期].[All]" allUniqueName="[表1].[日期].[All]" dimensionUniqueName="[表1]" displayFolder="" count="0" memberValueDatatype="7" unbalanced="0"/>
    <cacheHierarchy uniqueName="[表1].[用户]" caption="用户" attribute="1" defaultMemberUniqueName="[表1].[用户].[All]" allUniqueName="[表1].[用户].[All]" dimensionUniqueName="[表1]" displayFolder="" count="0" memberValueDatatype="130" unbalanced="0"/>
    <cacheHierarchy uniqueName="[表1].[商品名称]" caption="商品名称" attribute="1" defaultMemberUniqueName="[表1].[商品名称].[All]" allUniqueName="[表1].[商品名称].[All]" dimensionUniqueName="[表1]" displayFolder="" count="0" memberValueDatatype="130" unbalanced="0"/>
    <cacheHierarchy uniqueName="[表1].[单价]" caption="单价" attribute="1" defaultMemberUniqueName="[表1].[单价].[All]" allUniqueName="[表1].[单价].[All]" dimensionUniqueName="[表1]" displayFolder="" count="0" memberValueDatatype="20" unbalanced="0"/>
    <cacheHierarchy uniqueName="[表1].[数量]" caption="数量" attribute="1" defaultMemberUniqueName="[表1].[数量].[All]" allUniqueName="[表1].[数量].[All]" dimensionUniqueName="[表1]" displayFolder="" count="0" memberValueDatatype="20" unbalanced="0"/>
    <cacheHierarchy uniqueName="[表1].[金额]" caption="金额" attribute="1" defaultMemberUniqueName="[表1].[金额].[All]" allUniqueName="[表1].[金额].[All]" dimensionUniqueName="[表1]" displayFolder="" count="0" memberValueDatatype="20" unbalanced="0"/>
    <cacheHierarchy uniqueName="[区域].[日期]" caption="日期" attribute="1" time="1" defaultMemberUniqueName="[区域].[日期].[All]" allUniqueName="[区域].[日期].[All]" dimensionUniqueName="[区域]" displayFolder="" count="2" memberValueDatatype="7" unbalanced="0">
      <fieldsUsage count="2">
        <fieldUsage x="-1"/>
        <fieldUsage x="0"/>
      </fieldsUsage>
    </cacheHierarchy>
    <cacheHierarchy uniqueName="[区域].[用户]" caption="用户" attribute="1" defaultMemberUniqueName="[区域].[用户].[All]" allUniqueName="[区域].[用户].[All]" dimensionUniqueName="[区域]" displayFolder="" count="0" memberValueDatatype="130" unbalanced="0"/>
    <cacheHierarchy uniqueName="[区域].[商品名称]" caption="商品名称" attribute="1" defaultMemberUniqueName="[区域].[商品名称].[All]" allUniqueName="[区域].[商品名称].[All]" dimensionUniqueName="[区域]" displayFolder="" count="0" memberValueDatatype="130" unbalanced="0"/>
    <cacheHierarchy uniqueName="[区域].[单价]" caption="单价" attribute="1" defaultMemberUniqueName="[区域].[单价].[All]" allUniqueName="[区域].[单价].[All]" dimensionUniqueName="[区域]" displayFolder="" count="0" memberValueDatatype="20" unbalanced="0"/>
    <cacheHierarchy uniqueName="[区域].[数量]" caption="数量" attribute="1" defaultMemberUniqueName="[区域].[数量].[All]" allUniqueName="[区域].[数量].[All]" dimensionUniqueName="[区域]" displayFolder="" count="0" memberValueDatatype="20" unbalanced="0"/>
    <cacheHierarchy uniqueName="[区域].[金额]" caption="金额" attribute="1" defaultMemberUniqueName="[区域].[金额].[All]" allUniqueName="[区域].[金额].[All]" dimensionUniqueName="[区域]" displayFolder="" count="0" memberValueDatatype="20" unbalanced="0"/>
    <cacheHierarchy uniqueName="[Measures].[消费人数]" caption="消费人数" measure="1" displayFolder="" measureGroup="表1" count="0"/>
    <cacheHierarchy uniqueName="[Measures].[__XL_Count 表1]" caption="__XL_Count 表1" measure="1" displayFolder="" measureGroup="表1" count="0" hidden="1"/>
    <cacheHierarchy uniqueName="[Measures].[__XL_Count 区域]" caption="__XL_Count 区域" measure="1" displayFolder="" measureGroup="区域" count="0" hidden="1"/>
    <cacheHierarchy uniqueName="[Measures].[__No measures defined]" caption="__No measures defined" measure="1" displayFolder="" count="0" hidden="1"/>
    <cacheHierarchy uniqueName="[Measures].[以下项目的计数:商品名称]" caption="以下项目的计数:商品名称" measure="1" displayFolder="" measureGroup="表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以下项目的总和:金额]" caption="以下项目的总和:金额" measure="1" displayFolder="" measureGroup="表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以下项目的总和:数量]" caption="以下项目的总和:数量" measure="1" displayFolder="" measureGroup="区域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以下项目的总和:金额 2]" caption="以下项目的总和:金额 2" measure="1" displayFolder="" measureGroup="区域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项目的计数:用户]" caption="以下项目的计数:用户" measure="1" displayFolder="" measureGroup="区域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以下项目的计数:商品名称 2]" caption="以下项目的计数:商品名称 2" measure="1" displayFolder="" measureGroup="区域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以下项目的非重复计数:用户]" caption="以下项目的非重复计数:用户" measure="1" displayFolder="" measureGroup="区域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表1" uniqueName="[表1]" caption="表1"/>
    <dimension name="区域" uniqueName="[区域]" caption="区域"/>
  </dimensions>
  <measureGroups count="2">
    <measureGroup name="表1" caption="表1"/>
    <measureGroup name="区域" caption="区域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者" refreshedDate="43355.454916782408" createdVersion="5" refreshedVersion="6" minRefreshableVersion="3" recordCount="0" supportSubquery="1" supportAdvancedDrill="1" xr:uid="{00000000-000A-0000-FFFF-FFFF01000000}">
  <cacheSource type="external" connectionId="1"/>
  <cacheFields count="4">
    <cacheField name="[表1].[日期].[日期]" caption="日期" numFmtId="0" level="1">
      <sharedItems containsSemiMixedTypes="0" containsNonDate="0" containsDate="1" containsString="0" minDate="2018-03-18T00:00:00" maxDate="2018-03-22T00:00:00" count="4">
        <d v="2018-03-18T00:00:00"/>
        <d v="2018-03-19T00:00:00"/>
        <d v="2018-03-20T00:00:00"/>
        <d v="2018-03-21T00:00:00"/>
      </sharedItems>
    </cacheField>
    <cacheField name="[Measures].[消费人数]" caption="消费人数" numFmtId="0" hierarchy="12" level="32767"/>
    <cacheField name="[Measures].[以下项目的计数:商品名称]" caption="以下项目的计数:商品名称" numFmtId="0" hierarchy="16" level="32767"/>
    <cacheField name="[Measures].[以下项目的总和:金额]" caption="以下项目的总和:金额" numFmtId="0" hierarchy="17" level="32767"/>
  </cacheFields>
  <cacheHierarchies count="23">
    <cacheHierarchy uniqueName="[表1].[日期]" caption="日期" attribute="1" time="1" defaultMemberUniqueName="[表1].[日期].[All]" allUniqueName="[表1].[日期].[All]" dimensionUniqueName="[表1]" displayFolder="" count="2" memberValueDatatype="7" unbalanced="0">
      <fieldsUsage count="2">
        <fieldUsage x="-1"/>
        <fieldUsage x="0"/>
      </fieldsUsage>
    </cacheHierarchy>
    <cacheHierarchy uniqueName="[表1].[用户]" caption="用户" attribute="1" defaultMemberUniqueName="[表1].[用户].[All]" allUniqueName="[表1].[用户].[All]" dimensionUniqueName="[表1]" displayFolder="" count="0" memberValueDatatype="130" unbalanced="0"/>
    <cacheHierarchy uniqueName="[表1].[商品名称]" caption="商品名称" attribute="1" defaultMemberUniqueName="[表1].[商品名称].[All]" allUniqueName="[表1].[商品名称].[All]" dimensionUniqueName="[表1]" displayFolder="" count="0" memberValueDatatype="130" unbalanced="0"/>
    <cacheHierarchy uniqueName="[表1].[单价]" caption="单价" attribute="1" defaultMemberUniqueName="[表1].[单价].[All]" allUniqueName="[表1].[单价].[All]" dimensionUniqueName="[表1]" displayFolder="" count="0" memberValueDatatype="20" unbalanced="0"/>
    <cacheHierarchy uniqueName="[表1].[数量]" caption="数量" attribute="1" defaultMemberUniqueName="[表1].[数量].[All]" allUniqueName="[表1].[数量].[All]" dimensionUniqueName="[表1]" displayFolder="" count="0" memberValueDatatype="20" unbalanced="0"/>
    <cacheHierarchy uniqueName="[表1].[金额]" caption="金额" attribute="1" defaultMemberUniqueName="[表1].[金额].[All]" allUniqueName="[表1].[金额].[All]" dimensionUniqueName="[表1]" displayFolder="" count="0" memberValueDatatype="20" unbalanced="0"/>
    <cacheHierarchy uniqueName="[区域].[日期]" caption="日期" attribute="1" time="1" defaultMemberUniqueName="[区域].[日期].[All]" allUniqueName="[区域].[日期].[All]" dimensionUniqueName="[区域]" displayFolder="" count="0" memberValueDatatype="7" unbalanced="0"/>
    <cacheHierarchy uniqueName="[区域].[用户]" caption="用户" attribute="1" defaultMemberUniqueName="[区域].[用户].[All]" allUniqueName="[区域].[用户].[All]" dimensionUniqueName="[区域]" displayFolder="" count="0" memberValueDatatype="130" unbalanced="0"/>
    <cacheHierarchy uniqueName="[区域].[商品名称]" caption="商品名称" attribute="1" defaultMemberUniqueName="[区域].[商品名称].[All]" allUniqueName="[区域].[商品名称].[All]" dimensionUniqueName="[区域]" displayFolder="" count="0" memberValueDatatype="130" unbalanced="0"/>
    <cacheHierarchy uniqueName="[区域].[单价]" caption="单价" attribute="1" defaultMemberUniqueName="[区域].[单价].[All]" allUniqueName="[区域].[单价].[All]" dimensionUniqueName="[区域]" displayFolder="" count="0" memberValueDatatype="20" unbalanced="0"/>
    <cacheHierarchy uniqueName="[区域].[数量]" caption="数量" attribute="1" defaultMemberUniqueName="[区域].[数量].[All]" allUniqueName="[区域].[数量].[All]" dimensionUniqueName="[区域]" displayFolder="" count="0" memberValueDatatype="20" unbalanced="0"/>
    <cacheHierarchy uniqueName="[区域].[金额]" caption="金额" attribute="1" defaultMemberUniqueName="[区域].[金额].[All]" allUniqueName="[区域].[金额].[All]" dimensionUniqueName="[区域]" displayFolder="" count="0" memberValueDatatype="20" unbalanced="0"/>
    <cacheHierarchy uniqueName="[Measures].[消费人数]" caption="消费人数" measure="1" displayFolder="" measureGroup="表1" count="0" oneField="1">
      <fieldsUsage count="1">
        <fieldUsage x="1"/>
      </fieldsUsage>
    </cacheHierarchy>
    <cacheHierarchy uniqueName="[Measures].[__XL_Count 表1]" caption="__XL_Count 表1" measure="1" displayFolder="" measureGroup="表1" count="0" hidden="1"/>
    <cacheHierarchy uniqueName="[Measures].[__XL_Count 区域]" caption="__XL_Count 区域" measure="1" displayFolder="" measureGroup="区域" count="0" hidden="1"/>
    <cacheHierarchy uniqueName="[Measures].[__No measures defined]" caption="__No measures defined" measure="1" displayFolder="" count="0" hidden="1"/>
    <cacheHierarchy uniqueName="[Measures].[以下项目的计数:商品名称]" caption="以下项目的计数:商品名称" measure="1" displayFolder="" measureGroup="表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以下项目的总和:金额]" caption="以下项目的总和:金额" measure="1" displayFolder="" measureGroup="表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以下项目的总和:数量]" caption="以下项目的总和:数量" measure="1" displayFolder="" measureGroup="区域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以下项目的总和:金额 2]" caption="以下项目的总和:金额 2" measure="1" displayFolder="" measureGroup="区域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项目的计数:用户]" caption="以下项目的计数:用户" measure="1" displayFolder="" measureGroup="区域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以下项目的计数:商品名称 2]" caption="以下项目的计数:商品名称 2" measure="1" displayFolder="" measureGroup="区域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以下项目的非重复计数:用户]" caption="以下项目的非重复计数:用户" measure="1" displayFolder="" measureGroup="区域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表1" uniqueName="[表1]" caption="表1"/>
    <dimension name="区域" uniqueName="[区域]" caption="区域"/>
  </dimensions>
  <measureGroups count="2">
    <measureGroup name="表1" caption="表1"/>
    <measureGroup name="区域" caption="区域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3" cacheId="0" applyNumberFormats="0" applyBorderFormats="0" applyFontFormats="0" applyPatternFormats="0" applyAlignmentFormats="0" applyWidthHeightFormats="1" dataCaption="值" updatedVersion="6" minRefreshableVersion="3" useAutoFormatting="1" subtotalHiddenItems="1" itemPrintTitles="1" createdVersion="6" indent="0" outline="1" outlineData="1" multipleFieldFilters="0">
  <location ref="H3:K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以下项目的非重复计数:用户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以下项目的计数:商品名称" fld="2" subtotal="count" baseField="0" baseItem="0"/>
    <dataField name="以下项目的总和:金额" fld="1" baseField="0" baseItem="0"/>
  </dataFields>
  <formats count="21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57">
      <pivotArea outline="0" collapsedLevelsAreSubtotals="1" fieldPosition="0"/>
    </format>
    <format dxfId="5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55">
      <pivotArea dataOnly="0" outline="0" fieldPosition="0">
        <references count="1">
          <reference field="4294967294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以下项目的非重复计数:用户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方法二!$A$1:$F$11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数据透视表1" cacheId="1" applyNumberFormats="0" applyBorderFormats="0" applyFontFormats="0" applyPatternFormats="0" applyAlignmentFormats="0" applyWidthHeightFormats="1" dataCaption="值" tag="adbfc81c-73c6-449a-8d58-cdb1a7db450a" updatedVersion="6" minRefreshableVersion="3" useAutoFormatting="1" itemPrintTitles="1" createdVersion="5" indent="0" outline="1" outlineData="1" multipleFieldFilters="0">
  <location ref="I2:L7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name="以下项目的计数:商品名称" fld="2" subtotal="count" baseField="0" baseItem="0"/>
    <dataField name="以下项目的总和:金额" fld="3" baseField="0" baseItem="0"/>
  </dataFields>
  <formats count="44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表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F11" totalsRowShown="0" headerRowDxfId="10" dataDxfId="8" headerRowBorderDxfId="9" tableBorderDxfId="7" totalsRowBorderDxfId="6">
  <autoFilter ref="A1:F11" xr:uid="{00000000-0009-0000-0100-000001000000}"/>
  <tableColumns count="6">
    <tableColumn id="1" xr3:uid="{00000000-0010-0000-0000-000001000000}" name="日期" dataDxfId="5"/>
    <tableColumn id="2" xr3:uid="{00000000-0010-0000-0000-000002000000}" name="用户" dataDxfId="4"/>
    <tableColumn id="3" xr3:uid="{00000000-0010-0000-0000-000003000000}" name="商品名称" dataDxfId="3"/>
    <tableColumn id="4" xr3:uid="{00000000-0010-0000-0000-000004000000}" name="单价" dataDxfId="2"/>
    <tableColumn id="5" xr3:uid="{00000000-0010-0000-0000-000005000000}" name="数量" dataDxfId="1"/>
    <tableColumn id="6" xr3:uid="{00000000-0010-0000-0000-000006000000}" name="金额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showGridLines="0" tabSelected="1" workbookViewId="0">
      <selection activeCell="F10" sqref="F10"/>
    </sheetView>
  </sheetViews>
  <sheetFormatPr defaultRowHeight="15" customHeight="1" x14ac:dyDescent="0.2"/>
  <cols>
    <col min="1" max="1" width="9.5" style="6" bestFit="1" customWidth="1"/>
    <col min="2" max="2" width="5.25" style="6" bestFit="1" customWidth="1"/>
    <col min="3" max="3" width="9" style="6"/>
    <col min="4" max="6" width="5.375" style="6" bestFit="1" customWidth="1"/>
    <col min="7" max="7" width="2.875" style="6" customWidth="1"/>
    <col min="8" max="8" width="9.375" style="6" bestFit="1" customWidth="1"/>
    <col min="9" max="9" width="9" style="6"/>
    <col min="10" max="10" width="3.25" style="6" customWidth="1"/>
    <col min="11" max="11" width="9.375" style="6" bestFit="1" customWidth="1"/>
    <col min="12" max="14" width="9.25" style="6" customWidth="1"/>
    <col min="15" max="16384" width="9" style="6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K1" s="1" t="s">
        <v>0</v>
      </c>
      <c r="L1" s="1" t="s">
        <v>19</v>
      </c>
      <c r="M1" s="1" t="s">
        <v>20</v>
      </c>
      <c r="N1" s="1" t="s">
        <v>21</v>
      </c>
    </row>
    <row r="2" spans="1:14" ht="15" customHeight="1" x14ac:dyDescent="0.2">
      <c r="A2" s="2">
        <v>43177</v>
      </c>
      <c r="B2" s="3" t="s">
        <v>6</v>
      </c>
      <c r="C2" s="3" t="s">
        <v>7</v>
      </c>
      <c r="D2" s="3">
        <v>81</v>
      </c>
      <c r="E2" s="3">
        <v>4</v>
      </c>
      <c r="F2" s="3">
        <v>324</v>
      </c>
      <c r="H2" s="2">
        <v>43177</v>
      </c>
      <c r="I2" s="3" t="s">
        <v>6</v>
      </c>
      <c r="K2" s="2">
        <v>43177</v>
      </c>
      <c r="L2" s="4">
        <f>COUNTIFS(H:H,K2)</f>
        <v>2</v>
      </c>
      <c r="M2" s="4">
        <f>COUNTIF(A:A,K2)</f>
        <v>4</v>
      </c>
      <c r="N2" s="4">
        <f>SUMIFS(F:F,A:A,K2)</f>
        <v>1013</v>
      </c>
    </row>
    <row r="3" spans="1:14" ht="15" customHeight="1" x14ac:dyDescent="0.2">
      <c r="A3" s="2">
        <v>43177</v>
      </c>
      <c r="B3" s="3" t="s">
        <v>8</v>
      </c>
      <c r="C3" s="3" t="s">
        <v>9</v>
      </c>
      <c r="D3" s="3">
        <v>51</v>
      </c>
      <c r="E3" s="3">
        <v>5</v>
      </c>
      <c r="F3" s="3">
        <v>255</v>
      </c>
      <c r="H3" s="2">
        <v>43177</v>
      </c>
      <c r="I3" s="3" t="s">
        <v>8</v>
      </c>
      <c r="K3" s="2">
        <v>43178</v>
      </c>
      <c r="L3" s="4">
        <f t="shared" ref="L3:L5" si="0">COUNTIFS(H:H,K3)</f>
        <v>2</v>
      </c>
      <c r="M3" s="4">
        <f t="shared" ref="M3:M5" si="1">COUNTIF(A:A,K3)</f>
        <v>2</v>
      </c>
      <c r="N3" s="4">
        <f t="shared" ref="N3:N5" si="2">SUMIFS(F:F,A:A,K3)</f>
        <v>708</v>
      </c>
    </row>
    <row r="4" spans="1:14" ht="15" customHeight="1" x14ac:dyDescent="0.2">
      <c r="A4" s="2">
        <v>43177</v>
      </c>
      <c r="B4" s="3" t="s">
        <v>6</v>
      </c>
      <c r="C4" s="3" t="s">
        <v>10</v>
      </c>
      <c r="D4" s="3">
        <v>67</v>
      </c>
      <c r="E4" s="3">
        <v>5</v>
      </c>
      <c r="F4" s="3">
        <v>335</v>
      </c>
      <c r="H4" s="2">
        <v>43178</v>
      </c>
      <c r="I4" s="3" t="s">
        <v>8</v>
      </c>
      <c r="K4" s="2">
        <v>43179</v>
      </c>
      <c r="L4" s="4">
        <f t="shared" si="0"/>
        <v>1</v>
      </c>
      <c r="M4" s="4">
        <f t="shared" si="1"/>
        <v>2</v>
      </c>
      <c r="N4" s="4">
        <f t="shared" si="2"/>
        <v>277</v>
      </c>
    </row>
    <row r="5" spans="1:14" ht="15" customHeight="1" x14ac:dyDescent="0.2">
      <c r="A5" s="2">
        <v>43177</v>
      </c>
      <c r="B5" s="3" t="s">
        <v>6</v>
      </c>
      <c r="C5" s="3" t="s">
        <v>11</v>
      </c>
      <c r="D5" s="3">
        <v>99</v>
      </c>
      <c r="E5" s="3">
        <v>1</v>
      </c>
      <c r="F5" s="3">
        <v>99</v>
      </c>
      <c r="H5" s="2">
        <v>43178</v>
      </c>
      <c r="I5" s="3" t="s">
        <v>13</v>
      </c>
      <c r="K5" s="2">
        <v>43180</v>
      </c>
      <c r="L5" s="4">
        <f t="shared" si="0"/>
        <v>1</v>
      </c>
      <c r="M5" s="4">
        <f t="shared" si="1"/>
        <v>2</v>
      </c>
      <c r="N5" s="4">
        <f t="shared" si="2"/>
        <v>365</v>
      </c>
    </row>
    <row r="6" spans="1:14" ht="15" customHeight="1" x14ac:dyDescent="0.2">
      <c r="A6" s="2">
        <v>43178</v>
      </c>
      <c r="B6" s="3" t="s">
        <v>8</v>
      </c>
      <c r="C6" s="3" t="s">
        <v>12</v>
      </c>
      <c r="D6" s="3">
        <v>89</v>
      </c>
      <c r="E6" s="3">
        <v>4</v>
      </c>
      <c r="F6" s="3">
        <v>356</v>
      </c>
      <c r="H6" s="2">
        <v>43179</v>
      </c>
      <c r="I6" s="3" t="s">
        <v>13</v>
      </c>
      <c r="M6" s="7"/>
      <c r="N6" s="7"/>
    </row>
    <row r="7" spans="1:14" ht="15" customHeight="1" x14ac:dyDescent="0.2">
      <c r="A7" s="2">
        <v>43178</v>
      </c>
      <c r="B7" s="3" t="s">
        <v>13</v>
      </c>
      <c r="C7" s="3" t="s">
        <v>14</v>
      </c>
      <c r="D7" s="3">
        <v>88</v>
      </c>
      <c r="E7" s="3">
        <v>4</v>
      </c>
      <c r="F7" s="3">
        <v>352</v>
      </c>
      <c r="H7" s="2">
        <v>43180</v>
      </c>
      <c r="I7" s="3" t="s">
        <v>6</v>
      </c>
    </row>
    <row r="8" spans="1:14" ht="15" customHeight="1" x14ac:dyDescent="0.2">
      <c r="A8" s="2">
        <v>43179</v>
      </c>
      <c r="B8" s="3" t="s">
        <v>13</v>
      </c>
      <c r="C8" s="3" t="s">
        <v>15</v>
      </c>
      <c r="D8" s="3">
        <v>65</v>
      </c>
      <c r="E8" s="3">
        <v>2</v>
      </c>
      <c r="F8" s="3">
        <v>130</v>
      </c>
    </row>
    <row r="9" spans="1:14" ht="15" customHeight="1" x14ac:dyDescent="0.2">
      <c r="A9" s="2">
        <v>43179</v>
      </c>
      <c r="B9" s="3" t="s">
        <v>13</v>
      </c>
      <c r="C9" s="3" t="s">
        <v>16</v>
      </c>
      <c r="D9" s="3">
        <v>49</v>
      </c>
      <c r="E9" s="3">
        <v>3</v>
      </c>
      <c r="F9" s="3">
        <v>147</v>
      </c>
    </row>
    <row r="10" spans="1:14" ht="15" customHeight="1" x14ac:dyDescent="0.2">
      <c r="A10" s="2">
        <v>43180</v>
      </c>
      <c r="B10" s="3" t="s">
        <v>6</v>
      </c>
      <c r="C10" s="3" t="s">
        <v>17</v>
      </c>
      <c r="D10" s="3">
        <v>90</v>
      </c>
      <c r="E10" s="3">
        <v>2</v>
      </c>
      <c r="F10" s="3">
        <v>180</v>
      </c>
    </row>
    <row r="11" spans="1:14" ht="15" customHeight="1" x14ac:dyDescent="0.2">
      <c r="A11" s="2">
        <v>43180</v>
      </c>
      <c r="B11" s="3" t="s">
        <v>6</v>
      </c>
      <c r="C11" s="3" t="s">
        <v>18</v>
      </c>
      <c r="D11" s="3">
        <v>37</v>
      </c>
      <c r="E11" s="3">
        <v>5</v>
      </c>
      <c r="F11" s="3">
        <v>185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showGridLines="0" workbookViewId="0">
      <selection activeCell="D28" sqref="D28"/>
    </sheetView>
  </sheetViews>
  <sheetFormatPr defaultRowHeight="15" customHeight="1" x14ac:dyDescent="0.2"/>
  <cols>
    <col min="1" max="6" width="8.75" style="6" customWidth="1"/>
    <col min="7" max="7" width="9" style="6"/>
    <col min="8" max="8" width="10.75" style="6" bestFit="1" customWidth="1"/>
    <col min="9" max="11" width="13.25" style="13" customWidth="1"/>
    <col min="12" max="15" width="19.875" style="6" bestFit="1" customWidth="1"/>
    <col min="16" max="17" width="24" style="6" bestFit="1" customWidth="1"/>
    <col min="18" max="18" width="4.5" style="6" bestFit="1" customWidth="1"/>
    <col min="19" max="19" width="5.25" style="6" bestFit="1" customWidth="1"/>
    <col min="20" max="16384" width="9" style="6"/>
  </cols>
  <sheetData>
    <row r="1" spans="1:1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9" ht="15" customHeight="1" x14ac:dyDescent="0.2">
      <c r="A2" s="2">
        <v>43177</v>
      </c>
      <c r="B2" s="3" t="s">
        <v>6</v>
      </c>
      <c r="C2" s="3" t="s">
        <v>7</v>
      </c>
      <c r="D2" s="3">
        <v>81</v>
      </c>
      <c r="E2" s="3">
        <v>4</v>
      </c>
      <c r="F2" s="3">
        <v>324</v>
      </c>
    </row>
    <row r="3" spans="1:19" ht="24.75" x14ac:dyDescent="0.2">
      <c r="A3" s="2">
        <v>43177</v>
      </c>
      <c r="B3" s="3" t="s">
        <v>8</v>
      </c>
      <c r="C3" s="3" t="s">
        <v>9</v>
      </c>
      <c r="D3" s="3">
        <v>51</v>
      </c>
      <c r="E3" s="3">
        <v>5</v>
      </c>
      <c r="F3" s="3">
        <v>255</v>
      </c>
      <c r="H3" s="10" t="s">
        <v>22</v>
      </c>
      <c r="I3" s="9" t="s">
        <v>26</v>
      </c>
      <c r="J3" s="9" t="s">
        <v>25</v>
      </c>
      <c r="K3" s="9" t="s">
        <v>24</v>
      </c>
      <c r="L3"/>
      <c r="M3"/>
      <c r="N3"/>
      <c r="O3"/>
      <c r="P3"/>
      <c r="Q3"/>
      <c r="R3"/>
      <c r="S3"/>
    </row>
    <row r="4" spans="1:19" ht="15" customHeight="1" x14ac:dyDescent="0.2">
      <c r="A4" s="2">
        <v>43177</v>
      </c>
      <c r="B4" s="3" t="s">
        <v>6</v>
      </c>
      <c r="C4" s="3" t="s">
        <v>10</v>
      </c>
      <c r="D4" s="3">
        <v>67</v>
      </c>
      <c r="E4" s="3">
        <v>5</v>
      </c>
      <c r="F4" s="3">
        <v>335</v>
      </c>
      <c r="H4" s="11">
        <v>43177</v>
      </c>
      <c r="I4" s="12">
        <v>2</v>
      </c>
      <c r="J4" s="12">
        <v>4</v>
      </c>
      <c r="K4" s="12">
        <v>1013</v>
      </c>
      <c r="L4"/>
      <c r="M4"/>
      <c r="N4"/>
      <c r="O4"/>
      <c r="P4"/>
      <c r="Q4"/>
      <c r="R4"/>
      <c r="S4"/>
    </row>
    <row r="5" spans="1:19" ht="15" customHeight="1" x14ac:dyDescent="0.2">
      <c r="A5" s="2">
        <v>43177</v>
      </c>
      <c r="B5" s="3" t="s">
        <v>6</v>
      </c>
      <c r="C5" s="3" t="s">
        <v>11</v>
      </c>
      <c r="D5" s="3">
        <v>99</v>
      </c>
      <c r="E5" s="3">
        <v>1</v>
      </c>
      <c r="F5" s="3">
        <v>99</v>
      </c>
      <c r="H5" s="11">
        <v>43178</v>
      </c>
      <c r="I5" s="12">
        <v>2</v>
      </c>
      <c r="J5" s="12">
        <v>2</v>
      </c>
      <c r="K5" s="12">
        <v>708</v>
      </c>
      <c r="L5"/>
      <c r="M5"/>
      <c r="N5"/>
      <c r="O5"/>
      <c r="P5"/>
      <c r="Q5"/>
      <c r="R5"/>
      <c r="S5"/>
    </row>
    <row r="6" spans="1:19" ht="15" customHeight="1" x14ac:dyDescent="0.2">
      <c r="A6" s="2">
        <v>43178</v>
      </c>
      <c r="B6" s="3" t="s">
        <v>8</v>
      </c>
      <c r="C6" s="3" t="s">
        <v>12</v>
      </c>
      <c r="D6" s="3">
        <v>89</v>
      </c>
      <c r="E6" s="3">
        <v>4</v>
      </c>
      <c r="F6" s="3">
        <v>356</v>
      </c>
      <c r="H6" s="11">
        <v>43179</v>
      </c>
      <c r="I6" s="12">
        <v>1</v>
      </c>
      <c r="J6" s="12">
        <v>2</v>
      </c>
      <c r="K6" s="12">
        <v>277</v>
      </c>
      <c r="L6"/>
      <c r="M6"/>
      <c r="N6"/>
      <c r="O6"/>
      <c r="P6"/>
      <c r="Q6"/>
      <c r="R6"/>
      <c r="S6"/>
    </row>
    <row r="7" spans="1:19" ht="15" customHeight="1" x14ac:dyDescent="0.15">
      <c r="A7" s="2">
        <v>43178</v>
      </c>
      <c r="B7" s="3" t="s">
        <v>13</v>
      </c>
      <c r="C7" s="3" t="s">
        <v>14</v>
      </c>
      <c r="D7" s="3">
        <v>88</v>
      </c>
      <c r="E7" s="3">
        <v>4</v>
      </c>
      <c r="F7" s="3">
        <v>352</v>
      </c>
      <c r="H7" s="11">
        <v>43180</v>
      </c>
      <c r="I7" s="12">
        <v>1</v>
      </c>
      <c r="J7" s="12">
        <v>2</v>
      </c>
      <c r="K7" s="12">
        <v>365</v>
      </c>
    </row>
    <row r="8" spans="1:19" ht="15" customHeight="1" x14ac:dyDescent="0.15">
      <c r="A8" s="2">
        <v>43179</v>
      </c>
      <c r="B8" s="3" t="s">
        <v>13</v>
      </c>
      <c r="C8" s="3" t="s">
        <v>15</v>
      </c>
      <c r="D8" s="3">
        <v>65</v>
      </c>
      <c r="E8" s="3">
        <v>2</v>
      </c>
      <c r="F8" s="3">
        <v>130</v>
      </c>
      <c r="H8" s="8" t="s">
        <v>23</v>
      </c>
      <c r="I8" s="12">
        <v>3</v>
      </c>
      <c r="J8" s="12">
        <v>10</v>
      </c>
      <c r="K8" s="12">
        <v>2363</v>
      </c>
    </row>
    <row r="9" spans="1:19" ht="15" customHeight="1" x14ac:dyDescent="0.15">
      <c r="A9" s="2">
        <v>43179</v>
      </c>
      <c r="B9" s="3" t="s">
        <v>13</v>
      </c>
      <c r="C9" s="3" t="s">
        <v>16</v>
      </c>
      <c r="D9" s="3">
        <v>49</v>
      </c>
      <c r="E9" s="3">
        <v>3</v>
      </c>
      <c r="F9" s="3">
        <v>147</v>
      </c>
      <c r="H9" s="8"/>
      <c r="I9" s="9"/>
      <c r="J9" s="9"/>
    </row>
    <row r="10" spans="1:19" ht="15" customHeight="1" x14ac:dyDescent="0.15">
      <c r="A10" s="2">
        <v>43180</v>
      </c>
      <c r="B10" s="3" t="s">
        <v>6</v>
      </c>
      <c r="C10" s="3" t="s">
        <v>17</v>
      </c>
      <c r="D10" s="3">
        <v>90</v>
      </c>
      <c r="E10" s="3">
        <v>2</v>
      </c>
      <c r="F10" s="3">
        <v>180</v>
      </c>
      <c r="H10" s="8"/>
      <c r="I10" s="9"/>
      <c r="J10" s="9"/>
    </row>
    <row r="11" spans="1:19" ht="15" customHeight="1" x14ac:dyDescent="0.15">
      <c r="A11" s="2">
        <v>43180</v>
      </c>
      <c r="B11" s="3" t="s">
        <v>6</v>
      </c>
      <c r="C11" s="3" t="s">
        <v>18</v>
      </c>
      <c r="D11" s="3">
        <v>37</v>
      </c>
      <c r="E11" s="3">
        <v>5</v>
      </c>
      <c r="F11" s="3">
        <v>185</v>
      </c>
      <c r="H11" s="8"/>
      <c r="I11" s="9"/>
      <c r="J11" s="9"/>
    </row>
    <row r="12" spans="1:19" ht="15" customHeight="1" x14ac:dyDescent="0.15">
      <c r="H12" s="8"/>
      <c r="I12" s="9"/>
      <c r="J12" s="9"/>
    </row>
    <row r="13" spans="1:19" ht="15" customHeight="1" x14ac:dyDescent="0.15">
      <c r="H13" s="8"/>
      <c r="I13" s="9"/>
      <c r="J13" s="9"/>
    </row>
    <row r="14" spans="1:19" ht="15" customHeight="1" x14ac:dyDescent="0.15">
      <c r="H14" s="8"/>
      <c r="I14" s="9"/>
      <c r="J14" s="9"/>
    </row>
    <row r="15" spans="1:19" ht="15" customHeight="1" x14ac:dyDescent="0.15">
      <c r="H15" s="8"/>
      <c r="I15" s="9"/>
      <c r="J15" s="9"/>
    </row>
    <row r="16" spans="1:19" ht="15" customHeight="1" x14ac:dyDescent="0.15">
      <c r="H16" s="8"/>
      <c r="I16" s="9"/>
      <c r="J16" s="9"/>
    </row>
    <row r="17" spans="8:10" ht="15" customHeight="1" x14ac:dyDescent="0.15">
      <c r="H17" s="8"/>
      <c r="I17" s="9"/>
      <c r="J17" s="9"/>
    </row>
    <row r="18" spans="8:10" ht="15" customHeight="1" x14ac:dyDescent="0.15">
      <c r="H18" s="8"/>
      <c r="I18" s="9"/>
      <c r="J18" s="9"/>
    </row>
    <row r="19" spans="8:10" ht="15" customHeight="1" x14ac:dyDescent="0.15">
      <c r="H19" s="8"/>
      <c r="I19" s="9"/>
      <c r="J19" s="9"/>
    </row>
    <row r="20" spans="8:10" ht="15" customHeight="1" x14ac:dyDescent="0.15">
      <c r="H20" s="8"/>
      <c r="I20" s="9"/>
      <c r="J20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showGridLines="0" workbookViewId="0">
      <selection activeCell="D7" sqref="D7"/>
    </sheetView>
  </sheetViews>
  <sheetFormatPr defaultRowHeight="15" customHeight="1" x14ac:dyDescent="0.15"/>
  <cols>
    <col min="1" max="1" width="9.5" style="5" customWidth="1"/>
    <col min="2" max="2" width="9" style="5"/>
    <col min="3" max="3" width="10.25" style="5" customWidth="1"/>
    <col min="4" max="6" width="9.125" style="5" bestFit="1" customWidth="1"/>
    <col min="7" max="8" width="9" style="5"/>
    <col min="9" max="9" width="10.25" style="8" customWidth="1"/>
    <col min="10" max="12" width="13" style="9" customWidth="1"/>
    <col min="13" max="16384" width="9" style="5"/>
  </cols>
  <sheetData>
    <row r="1" spans="1:13" ht="15" customHeight="1" x14ac:dyDescent="0.1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I1" s="6"/>
      <c r="J1" s="13"/>
      <c r="K1" s="13"/>
      <c r="L1" s="13"/>
      <c r="M1" s="6"/>
    </row>
    <row r="2" spans="1:13" ht="24" x14ac:dyDescent="0.15">
      <c r="A2" s="17">
        <v>43177</v>
      </c>
      <c r="B2" s="3" t="s">
        <v>6</v>
      </c>
      <c r="C2" s="3" t="s">
        <v>7</v>
      </c>
      <c r="D2" s="3">
        <v>81</v>
      </c>
      <c r="E2" s="3">
        <v>4</v>
      </c>
      <c r="F2" s="18">
        <v>324</v>
      </c>
      <c r="I2" s="19" t="s">
        <v>22</v>
      </c>
      <c r="J2" s="13" t="s">
        <v>27</v>
      </c>
      <c r="K2" s="13" t="s">
        <v>25</v>
      </c>
      <c r="L2" s="13" t="s">
        <v>24</v>
      </c>
      <c r="M2" s="6"/>
    </row>
    <row r="3" spans="1:13" ht="15" customHeight="1" x14ac:dyDescent="0.15">
      <c r="A3" s="17">
        <v>43177</v>
      </c>
      <c r="B3" s="3" t="s">
        <v>8</v>
      </c>
      <c r="C3" s="3" t="s">
        <v>9</v>
      </c>
      <c r="D3" s="3">
        <v>51</v>
      </c>
      <c r="E3" s="3">
        <v>5</v>
      </c>
      <c r="F3" s="18">
        <v>255</v>
      </c>
      <c r="I3" s="20">
        <v>43177</v>
      </c>
      <c r="J3" s="21">
        <v>2</v>
      </c>
      <c r="K3" s="21">
        <v>4</v>
      </c>
      <c r="L3" s="21">
        <v>1013</v>
      </c>
      <c r="M3" s="6"/>
    </row>
    <row r="4" spans="1:13" ht="15" customHeight="1" x14ac:dyDescent="0.15">
      <c r="A4" s="17">
        <v>43177</v>
      </c>
      <c r="B4" s="3" t="s">
        <v>6</v>
      </c>
      <c r="C4" s="3" t="s">
        <v>10</v>
      </c>
      <c r="D4" s="3">
        <v>67</v>
      </c>
      <c r="E4" s="3">
        <v>5</v>
      </c>
      <c r="F4" s="18">
        <v>335</v>
      </c>
      <c r="I4" s="20">
        <v>43178</v>
      </c>
      <c r="J4" s="21">
        <v>2</v>
      </c>
      <c r="K4" s="21">
        <v>2</v>
      </c>
      <c r="L4" s="21">
        <v>708</v>
      </c>
      <c r="M4" s="6"/>
    </row>
    <row r="5" spans="1:13" ht="15" customHeight="1" x14ac:dyDescent="0.15">
      <c r="A5" s="17">
        <v>43177</v>
      </c>
      <c r="B5" s="3" t="s">
        <v>6</v>
      </c>
      <c r="C5" s="3" t="s">
        <v>11</v>
      </c>
      <c r="D5" s="3">
        <v>99</v>
      </c>
      <c r="E5" s="3">
        <v>1</v>
      </c>
      <c r="F5" s="18">
        <v>99</v>
      </c>
      <c r="I5" s="20">
        <v>43179</v>
      </c>
      <c r="J5" s="21">
        <v>1</v>
      </c>
      <c r="K5" s="21">
        <v>2</v>
      </c>
      <c r="L5" s="21">
        <v>277</v>
      </c>
      <c r="M5" s="6"/>
    </row>
    <row r="6" spans="1:13" ht="15" customHeight="1" x14ac:dyDescent="0.15">
      <c r="A6" s="17">
        <v>43178</v>
      </c>
      <c r="B6" s="3" t="s">
        <v>8</v>
      </c>
      <c r="C6" s="3" t="s">
        <v>12</v>
      </c>
      <c r="D6" s="3">
        <v>89</v>
      </c>
      <c r="E6" s="3">
        <v>4</v>
      </c>
      <c r="F6" s="18">
        <v>356</v>
      </c>
      <c r="I6" s="20">
        <v>43180</v>
      </c>
      <c r="J6" s="21">
        <v>1</v>
      </c>
      <c r="K6" s="21">
        <v>2</v>
      </c>
      <c r="L6" s="21">
        <v>365</v>
      </c>
      <c r="M6" s="6"/>
    </row>
    <row r="7" spans="1:13" ht="15" customHeight="1" x14ac:dyDescent="0.15">
      <c r="A7" s="17">
        <v>43178</v>
      </c>
      <c r="B7" s="3" t="s">
        <v>13</v>
      </c>
      <c r="C7" s="3" t="s">
        <v>14</v>
      </c>
      <c r="D7" s="3">
        <v>88</v>
      </c>
      <c r="E7" s="3">
        <v>4</v>
      </c>
      <c r="F7" s="18">
        <v>352</v>
      </c>
      <c r="I7" s="6" t="s">
        <v>23</v>
      </c>
      <c r="J7" s="21">
        <v>3</v>
      </c>
      <c r="K7" s="21">
        <v>10</v>
      </c>
      <c r="L7" s="21">
        <v>2363</v>
      </c>
      <c r="M7" s="6"/>
    </row>
    <row r="8" spans="1:13" ht="15" customHeight="1" x14ac:dyDescent="0.15">
      <c r="A8" s="17">
        <v>43179</v>
      </c>
      <c r="B8" s="3" t="s">
        <v>13</v>
      </c>
      <c r="C8" s="3" t="s">
        <v>15</v>
      </c>
      <c r="D8" s="3">
        <v>65</v>
      </c>
      <c r="E8" s="3">
        <v>2</v>
      </c>
      <c r="F8" s="18">
        <v>130</v>
      </c>
      <c r="I8" s="6"/>
      <c r="J8" s="13"/>
      <c r="K8" s="13"/>
      <c r="L8" s="13"/>
      <c r="M8" s="6"/>
    </row>
    <row r="9" spans="1:13" ht="15" customHeight="1" x14ac:dyDescent="0.15">
      <c r="A9" s="17">
        <v>43179</v>
      </c>
      <c r="B9" s="3" t="s">
        <v>13</v>
      </c>
      <c r="C9" s="3" t="s">
        <v>16</v>
      </c>
      <c r="D9" s="3">
        <v>49</v>
      </c>
      <c r="E9" s="3">
        <v>3</v>
      </c>
      <c r="F9" s="18">
        <v>147</v>
      </c>
      <c r="I9" s="6"/>
      <c r="J9" s="13"/>
      <c r="K9" s="13"/>
      <c r="L9" s="13"/>
      <c r="M9" s="6"/>
    </row>
    <row r="10" spans="1:13" ht="15" customHeight="1" x14ac:dyDescent="0.15">
      <c r="A10" s="17">
        <v>43180</v>
      </c>
      <c r="B10" s="3" t="s">
        <v>6</v>
      </c>
      <c r="C10" s="3" t="s">
        <v>17</v>
      </c>
      <c r="D10" s="3">
        <v>90</v>
      </c>
      <c r="E10" s="3">
        <v>2</v>
      </c>
      <c r="F10" s="18">
        <v>180</v>
      </c>
      <c r="I10" s="6"/>
      <c r="J10" s="13"/>
      <c r="K10" s="13"/>
      <c r="L10" s="13"/>
      <c r="M10" s="6"/>
    </row>
    <row r="11" spans="1:13" ht="15" customHeight="1" x14ac:dyDescent="0.15">
      <c r="A11" s="22">
        <v>43180</v>
      </c>
      <c r="B11" s="23" t="s">
        <v>6</v>
      </c>
      <c r="C11" s="23" t="s">
        <v>18</v>
      </c>
      <c r="D11" s="23">
        <v>37</v>
      </c>
      <c r="E11" s="23">
        <v>5</v>
      </c>
      <c r="F11" s="24">
        <v>185</v>
      </c>
      <c r="I11" s="6"/>
      <c r="J11" s="13"/>
      <c r="K11" s="13"/>
      <c r="L11" s="13"/>
      <c r="M11" s="6"/>
    </row>
    <row r="12" spans="1:13" ht="15" customHeight="1" x14ac:dyDescent="0.15">
      <c r="I12" s="6"/>
      <c r="J12" s="13"/>
      <c r="K12" s="13"/>
      <c r="L12" s="13"/>
      <c r="M12" s="6"/>
    </row>
    <row r="13" spans="1:13" ht="15" customHeight="1" x14ac:dyDescent="0.15">
      <c r="I13" s="6"/>
      <c r="J13" s="13"/>
      <c r="K13" s="13"/>
      <c r="L13" s="13"/>
      <c r="M13" s="6"/>
    </row>
    <row r="14" spans="1:13" ht="15" customHeight="1" x14ac:dyDescent="0.15">
      <c r="I14" s="6"/>
      <c r="J14" s="13"/>
      <c r="K14" s="13"/>
      <c r="L14" s="13"/>
      <c r="M14" s="6"/>
    </row>
    <row r="15" spans="1:13" ht="15" customHeight="1" x14ac:dyDescent="0.15">
      <c r="I15" s="6"/>
      <c r="J15" s="13"/>
      <c r="K15" s="13"/>
      <c r="L15" s="13"/>
      <c r="M15" s="6"/>
    </row>
  </sheetData>
  <phoneticPr fontId="1" type="noConversion"/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��h�h��eg(u7bFU�TT�yUS�Npeϑё��
</file>

<file path=customXml/item2.xml>��
</file>

<file path=customXml/item3.xml>��h�
</file>

<file path=customXml/item4.xml>��h�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��h�
</file>

<file path=customXml/item11.xml>��h��eg(u7bFU�TT�yUS�Npeϑё���eg(u7bFU�TT�yUS�Npeϑё��
</file>

<file path=customXml/item12.xml>��
</file>

<file path=customXml/item13.xml>���m9��Npe�m9��Npe
</file>

<file path=customXml/item14.xml>��
</file>

<file path=customXml/item15.xml>��h�h��m9��Npe�m9��NpelQ_�m9��Npe<P�eg(u7bFU�TT�yUS�Npeϑё���NNy��v�v��pe:FU�TT�y�NNy��v�v��pe:FU�TT�ylQ_�NNy��v�v��pe:FU�TT�y<P�NNy��v�v;`�T:ё���NNy��v�v;`�T:ё��lQ_�NNy��v�v;`�T:ё��<P�NNy��v�v��pe:FU�TT�yFU�TT�y�NNy��v�v��pe:FU�TT�yFU�TT�y�NNy��v�v��pe:FU�TT�yFU�TT�y�NNy��v�v;`�T:ё��ё���NNy��v�v;`�T:ё��ё���NNy��v�v;`�T:ё��ё���m9��Npe�m9��NpelQ_�m9��Npe<P�eg(u7bFU�TT�yUS�Npeϑё���NNy��v�v��pe:FU�TT�y�NNy��v�v��pe:FU�TT�ylQ_�NNy��v�v��pe:FU�TT�y<P�NNy��v�v;`�T:ё���NNy��v�v;`�T:ё��lQ_�NNy��v�v;`�T:ё��<P�NNy��v�v��pe:FU�TT�yFU�TT�y�NNy��v�v��pe:FU�TT�yFU�TT�y�NNy��v�v��pe:FU�TT�yFU�TT�y�NNy��v�v;`�T:ё��ё���NNy��v�v;`�T:ё��ё���NNy��v�v;`�T:ё��ё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E8BC6E5-8F94-4DD6-8D19-19D4ECA7C5A2}">
  <ds:schemaRefs/>
</ds:datastoreItem>
</file>

<file path=customXml/itemProps2.xml><?xml version="1.0" encoding="utf-8"?>
<ds:datastoreItem xmlns:ds="http://schemas.openxmlformats.org/officeDocument/2006/customXml" ds:itemID="{1E5B9135-9896-4300-B46D-588F8406CFD1}">
  <ds:schemaRefs/>
</ds:datastoreItem>
</file>

<file path=customXml/itemProps3.xml><?xml version="1.0" encoding="utf-8"?>
<ds:datastoreItem xmlns:ds="http://schemas.openxmlformats.org/officeDocument/2006/customXml" ds:itemID="{776A0D27-C7DD-493B-A7AB-7E6287B34A50}">
  <ds:schemaRefs/>
</ds:datastoreItem>
</file>

<file path=customXml/itemProps4.xml><?xml version="1.0" encoding="utf-8"?>
<ds:datastoreItem xmlns:ds="http://schemas.openxmlformats.org/officeDocument/2006/customXml" ds:itemID="{95AA994A-A995-49B0-B1D0-C68D9494B190}">
  <ds:schemaRefs/>
</ds:datastoreItem>
</file>

<file path=customXml/itemProps5.xml><?xml version="1.0" encoding="utf-8"?>
<ds:datastoreItem xmlns:ds="http://schemas.openxmlformats.org/officeDocument/2006/customXml" ds:itemID="{3E647209-E12F-4383-AD7B-2FFC89E78004}">
  <ds:schemaRefs/>
</ds:datastoreItem>
</file>

<file path=customXml/itemProps6.xml><?xml version="1.0" encoding="utf-8"?>
<ds:datastoreItem xmlns:ds="http://schemas.openxmlformats.org/officeDocument/2006/customXml" ds:itemID="{176F4497-E933-40AD-88E1-E5284B6DA198}">
  <ds:schemaRefs/>
</ds:datastoreItem>
</file>

<file path=customXml/itemProps7.xml><?xml version="1.0" encoding="utf-8"?>
<ds:datastoreItem xmlns:ds="http://schemas.openxmlformats.org/officeDocument/2006/customXml" ds:itemID="{19DE3D7E-D878-4773-B7F1-830609ABA5F1}">
  <ds:schemaRefs/>
</ds:datastoreItem>
</file>

<file path=customXml/itemProps8.xml><?xml version="1.0" encoding="utf-8"?>
<ds:datastoreItem xmlns:ds="http://schemas.openxmlformats.org/officeDocument/2006/customXml" ds:itemID="{5F7ABD51-E7DE-4B73-9F64-F6A42E0CA0FF}">
  <ds:schemaRefs/>
</ds:datastoreItem>
</file>

<file path=customXml/itemProps9.xml><?xml version="1.0" encoding="utf-8"?>
<ds:datastoreItem xmlns:ds="http://schemas.openxmlformats.org/officeDocument/2006/customXml" ds:itemID="{4458A721-7E30-4B08-BB6F-210872C93988}">
  <ds:schemaRefs/>
</ds:datastoreItem>
</file>

<file path=customXml/itemProps10.xml><?xml version="1.0" encoding="utf-8"?>
<ds:datastoreItem xmlns:ds="http://schemas.openxmlformats.org/officeDocument/2006/customXml" ds:itemID="{1919DFA6-E1B5-4A67-9049-012DFE2DC072}">
  <ds:schemaRefs/>
</ds:datastoreItem>
</file>

<file path=customXml/itemProps11.xml><?xml version="1.0" encoding="utf-8"?>
<ds:datastoreItem xmlns:ds="http://schemas.openxmlformats.org/officeDocument/2006/customXml" ds:itemID="{39C91554-6FE9-4239-9EFE-2D4C0D3E134F}">
  <ds:schemaRefs/>
</ds:datastoreItem>
</file>

<file path=customXml/itemProps12.xml><?xml version="1.0" encoding="utf-8"?>
<ds:datastoreItem xmlns:ds="http://schemas.openxmlformats.org/officeDocument/2006/customXml" ds:itemID="{CC234805-FEFE-4796-9BBC-33030321FCD7}">
  <ds:schemaRefs/>
</ds:datastoreItem>
</file>

<file path=customXml/itemProps13.xml><?xml version="1.0" encoding="utf-8"?>
<ds:datastoreItem xmlns:ds="http://schemas.openxmlformats.org/officeDocument/2006/customXml" ds:itemID="{7325D78E-78CD-4C38-8219-2676E8327348}">
  <ds:schemaRefs/>
</ds:datastoreItem>
</file>

<file path=customXml/itemProps14.xml><?xml version="1.0" encoding="utf-8"?>
<ds:datastoreItem xmlns:ds="http://schemas.openxmlformats.org/officeDocument/2006/customXml" ds:itemID="{10475425-06DB-4C47-9DAE-BCB64B514B22}">
  <ds:schemaRefs/>
</ds:datastoreItem>
</file>

<file path=customXml/itemProps15.xml><?xml version="1.0" encoding="utf-8"?>
<ds:datastoreItem xmlns:ds="http://schemas.openxmlformats.org/officeDocument/2006/customXml" ds:itemID="{8A39B97A-D217-4A0C-A006-D7B04A4BF575}">
  <ds:schemaRefs/>
</ds:datastoreItem>
</file>

<file path=customXml/itemProps16.xml><?xml version="1.0" encoding="utf-8"?>
<ds:datastoreItem xmlns:ds="http://schemas.openxmlformats.org/officeDocument/2006/customXml" ds:itemID="{77850ED6-207D-4E6B-B228-AE1CAEDD63DE}">
  <ds:schemaRefs/>
</ds:datastoreItem>
</file>

<file path=customXml/itemProps17.xml><?xml version="1.0" encoding="utf-8"?>
<ds:datastoreItem xmlns:ds="http://schemas.openxmlformats.org/officeDocument/2006/customXml" ds:itemID="{30B6486A-46E8-49A6-9F82-EE10FC6625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方法一</vt:lpstr>
      <vt:lpstr>方法二</vt:lpstr>
      <vt:lpstr>方法三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2019-04-22T15:08:29Z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4a002084-b03c-4b04-a41d-5a2b24d55937</vt:lpwstr>
  </property>
</Properties>
</file>