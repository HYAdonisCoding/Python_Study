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移动平均模型预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C13" i="1"/>
  <c r="Q5" i="1"/>
  <c r="Q6" i="1"/>
  <c r="Q7" i="1"/>
  <c r="Q8" i="1"/>
  <c r="Q9" i="1"/>
  <c r="Q10" i="1"/>
  <c r="Q11" i="1"/>
  <c r="Q12" i="1"/>
  <c r="Q13" i="1"/>
  <c r="Q14" i="1"/>
  <c r="C3" i="1" l="1"/>
  <c r="C4" i="1" l="1"/>
  <c r="C5" i="1"/>
  <c r="C6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<sst xmlns="http://schemas.openxmlformats.org/spreadsheetml/2006/main" count="4" uniqueCount="3">
  <si>
    <t>日期</t>
    <phoneticPr fontId="1" type="noConversion"/>
  </si>
  <si>
    <t>销售业绩/万</t>
    <phoneticPr fontId="1" type="noConversion"/>
  </si>
  <si>
    <t>销售业绩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</si>
</sst>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5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移动平均模型预测!$B$1</c:f>
              <c:strCache>
                <c:ptCount val="1"/>
                <c:pt idx="0">
                  <c:v>销售业绩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移动平均模型预测!$A$2:$A$13</c:f>
              <c:numCache>
                <c:formatCode>yyyy"年"m"月"</c:formatCode>
                <c:ptCount val="12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</c:numCache>
            </c:numRef>
          </c:xVal>
          <c:yVal>
            <c:numRef>
              <c:f>移动平均模型预测!$B$2:$B$13</c:f>
              <c:numCache>
                <c:formatCode>General</c:formatCode>
                <c:ptCount val="12"/>
                <c:pt idx="0">
                  <c:v>210</c:v>
                </c:pt>
                <c:pt idx="1">
                  <c:v>220</c:v>
                </c:pt>
                <c:pt idx="2">
                  <c:v>232</c:v>
                </c:pt>
                <c:pt idx="3">
                  <c:v>242</c:v>
                </c:pt>
                <c:pt idx="4">
                  <c:v>256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318</c:v>
                </c:pt>
                <c:pt idx="9">
                  <c:v>336</c:v>
                </c:pt>
                <c:pt idx="10">
                  <c:v>355</c:v>
                </c:pt>
                <c:pt idx="11">
                  <c:v>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3-4364-9D1B-7C06F7BD4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33296"/>
        <c:axId val="595613128"/>
      </c:scatterChart>
      <c:valAx>
        <c:axId val="59603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&quot;年&quot;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5613128"/>
        <c:crosses val="autoZero"/>
        <c:crossBetween val="midCat"/>
      </c:valAx>
      <c:valAx>
        <c:axId val="595613128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03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zh-CN" sz="1200" b="1"/>
              <a:t>移动平均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实际值</c:v>
          </c:tx>
          <c:val>
            <c:numRef>
              <c:f>移动平均模型预测!$B$2:$B$13</c:f>
              <c:numCache>
                <c:formatCode>General</c:formatCode>
                <c:ptCount val="12"/>
                <c:pt idx="0">
                  <c:v>210</c:v>
                </c:pt>
                <c:pt idx="1">
                  <c:v>220</c:v>
                </c:pt>
                <c:pt idx="2">
                  <c:v>232</c:v>
                </c:pt>
                <c:pt idx="3">
                  <c:v>242</c:v>
                </c:pt>
                <c:pt idx="4">
                  <c:v>256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318</c:v>
                </c:pt>
                <c:pt idx="9">
                  <c:v>336</c:v>
                </c:pt>
                <c:pt idx="10">
                  <c:v>355</c:v>
                </c:pt>
                <c:pt idx="11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6C-4ED7-A6D3-5FFAE82B27D3}"/>
            </c:ext>
          </c:extLst>
        </c:ser>
        <c:ser>
          <c:idx val="1"/>
          <c:order val="1"/>
          <c:tx>
            <c:v>预测值</c:v>
          </c:tx>
          <c:val>
            <c:numRef>
              <c:f>移动平均模型预测!$C$2:$C$13</c:f>
              <c:numCache>
                <c:formatCode>General</c:formatCode>
                <c:ptCount val="12"/>
                <c:pt idx="0">
                  <c:v>#N/A</c:v>
                </c:pt>
                <c:pt idx="1">
                  <c:v>215</c:v>
                </c:pt>
                <c:pt idx="2">
                  <c:v>226</c:v>
                </c:pt>
                <c:pt idx="3">
                  <c:v>237</c:v>
                </c:pt>
                <c:pt idx="4">
                  <c:v>249</c:v>
                </c:pt>
                <c:pt idx="5">
                  <c:v>263</c:v>
                </c:pt>
                <c:pt idx="6">
                  <c:v>277.5</c:v>
                </c:pt>
                <c:pt idx="7">
                  <c:v>292.5</c:v>
                </c:pt>
                <c:pt idx="8">
                  <c:v>309</c:v>
                </c:pt>
                <c:pt idx="9">
                  <c:v>327</c:v>
                </c:pt>
                <c:pt idx="10">
                  <c:v>345.5</c:v>
                </c:pt>
                <c:pt idx="11">
                  <c:v>367.5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6C-4ED7-A6D3-5FFAE82B2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854696"/>
        <c:axId val="601853384"/>
      </c:lineChart>
      <c:catAx>
        <c:axId val="601854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数据点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601853384"/>
        <c:crosses val="autoZero"/>
        <c:auto val="1"/>
        <c:lblAlgn val="ctr"/>
        <c:lblOffset val="100"/>
        <c:noMultiLvlLbl val="0"/>
      </c:catAx>
      <c:valAx>
        <c:axId val="601853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值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018546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999995435352134"/>
          <c:y val="0.40026641481004294"/>
          <c:w val="0.17391308317085089"/>
          <c:h val="0.16960007122312704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移动平均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实际值</c:v>
          </c:tx>
          <c:val>
            <c:numRef>
              <c:f>移动平均模型预测!$P$2:$P$13</c:f>
              <c:numCache>
                <c:formatCode>General</c:formatCode>
                <c:ptCount val="12"/>
                <c:pt idx="0">
                  <c:v>210</c:v>
                </c:pt>
                <c:pt idx="1">
                  <c:v>220</c:v>
                </c:pt>
                <c:pt idx="2">
                  <c:v>232</c:v>
                </c:pt>
                <c:pt idx="3">
                  <c:v>242</c:v>
                </c:pt>
                <c:pt idx="4">
                  <c:v>256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318</c:v>
                </c:pt>
                <c:pt idx="9">
                  <c:v>336</c:v>
                </c:pt>
                <c:pt idx="10">
                  <c:v>355</c:v>
                </c:pt>
                <c:pt idx="11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B-46F1-AAAB-CCBF09EF2DBA}"/>
            </c:ext>
          </c:extLst>
        </c:ser>
        <c:ser>
          <c:idx val="1"/>
          <c:order val="1"/>
          <c:tx>
            <c:v>预测值</c:v>
          </c:tx>
          <c:val>
            <c:numRef>
              <c:f>移动平均模型预测!$Q$3:$Q$14</c:f>
              <c:numCache>
                <c:formatCode>General</c:formatCode>
                <c:ptCount val="12"/>
                <c:pt idx="0">
                  <c:v>#N/A</c:v>
                </c:pt>
                <c:pt idx="1">
                  <c:v>215</c:v>
                </c:pt>
                <c:pt idx="2">
                  <c:v>226</c:v>
                </c:pt>
                <c:pt idx="3">
                  <c:v>237</c:v>
                </c:pt>
                <c:pt idx="4">
                  <c:v>249</c:v>
                </c:pt>
                <c:pt idx="5">
                  <c:v>263</c:v>
                </c:pt>
                <c:pt idx="6">
                  <c:v>277.5</c:v>
                </c:pt>
                <c:pt idx="7">
                  <c:v>292.5</c:v>
                </c:pt>
                <c:pt idx="8">
                  <c:v>309</c:v>
                </c:pt>
                <c:pt idx="9">
                  <c:v>327</c:v>
                </c:pt>
                <c:pt idx="10">
                  <c:v>345.5</c:v>
                </c:pt>
                <c:pt idx="11">
                  <c:v>367.5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B-46F1-AAAB-CCBF09EF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64992"/>
        <c:axId val="372265320"/>
      </c:lineChart>
      <c:catAx>
        <c:axId val="37226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数据点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72265320"/>
        <c:crosses val="autoZero"/>
        <c:auto val="1"/>
        <c:lblAlgn val="ctr"/>
        <c:lblOffset val="100"/>
        <c:noMultiLvlLbl val="0"/>
      </c:catAx>
      <c:valAx>
        <c:axId val="372265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值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22649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176211</xdr:colOff>
      <xdr:row>21</xdr:row>
      <xdr:rowOff>166686</xdr:rowOff>
    </xdr:from>
    <xdr:to>
      <xdr:col>16</xdr:col>
      <xdr:colOff>200024</xdr:colOff>
      <xdr:row>38</xdr:row>
      <xdr:rowOff>9524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8E80B9-B189-49B2-BB35-C77DE5F38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95251</xdr:colOff>
      <xdr:row>0</xdr:row>
      <xdr:rowOff>133350</xdr:rowOff>
    </xdr:from>
    <xdr:to>
      <xdr:col>9</xdr:col>
      <xdr:colOff>76200</xdr:colOff>
      <xdr:row>12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0F5DAA6-3C0B-4AC2-8A87-450543CB0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266700</xdr:colOff>
      <xdr:row>2</xdr:row>
      <xdr:rowOff>171450</xdr:rowOff>
    </xdr:from>
    <xdr:to>
      <xdr:col>24</xdr:col>
      <xdr:colOff>266700</xdr:colOff>
      <xdr:row>12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8FEBB6D-8C4A-4540-B203-D6F89BF04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showGridLines="0" tabSelected="1" workbookViewId="0">
      <selection activeCell="C9" sqref="A1:C13"/>
    </sheetView>
  </sheetViews>
  <sheetFormatPr defaultRowHeight="15" customHeight="1" x14ac:dyDescent="0.2"/>
  <cols>
    <col min="1" max="3" width="10.625" style="6" customWidth="1"/>
    <col min="4" max="14" width="9" style="2"/>
    <col min="15" max="15" width="10.25" style="2" bestFit="1" customWidth="1"/>
    <col min="16" max="16" width="11.375" style="2" customWidth="1"/>
    <col min="17" max="16384" width="9" style="2"/>
  </cols>
  <sheetData>
    <row r="1" spans="1:17" ht="15" customHeight="1" x14ac:dyDescent="0.2">
      <c r="A1" s="1" t="s">
        <v>0</v>
      </c>
      <c r="B1" s="1" t="s">
        <v>2</v>
      </c>
      <c r="O1" s="1" t="s">
        <v>0</v>
      </c>
      <c r="P1" s="1" t="s">
        <v>1</v>
      </c>
    </row>
    <row r="2" spans="1:17" ht="15" customHeight="1" x14ac:dyDescent="0.2">
      <c r="A2" s="3">
        <v>42948</v>
      </c>
      <c r="B2" s="4">
        <v>210</v>
      </c>
      <c r="C2" s="6" t="e">
        <v>#N/A</v>
      </c>
      <c r="E2" s="5"/>
      <c r="O2" s="3">
        <v>42948</v>
      </c>
      <c r="P2" s="4">
        <v>210</v>
      </c>
    </row>
    <row r="3" spans="1:17" ht="15" customHeight="1" x14ac:dyDescent="0.2">
      <c r="A3" s="3">
        <v>42979</v>
      </c>
      <c r="B3" s="4">
        <v>220</v>
      </c>
      <c r="C3" s="6">
        <f>AVERAGE(B2:B3)</f>
        <v>215</v>
      </c>
      <c r="E3" s="5"/>
      <c r="O3" s="3">
        <v>42979</v>
      </c>
      <c r="P3" s="4">
        <v>220</v>
      </c>
      <c r="Q3" s="2" t="e">
        <v>#N/A</v>
      </c>
    </row>
    <row r="4" spans="1:17" ht="15" customHeight="1" x14ac:dyDescent="0.2">
      <c r="A4" s="3">
        <v>43009</v>
      </c>
      <c r="B4" s="4">
        <v>232</v>
      </c>
      <c r="C4" s="6">
        <f t="shared" ref="C4:C12" si="0">AVERAGE(B3:B4)</f>
        <v>226</v>
      </c>
      <c r="E4" s="5"/>
      <c r="O4" s="3">
        <v>43009</v>
      </c>
      <c r="P4" s="4">
        <v>232</v>
      </c>
      <c r="Q4" s="2">
        <f>AVERAGE(P2:P3)</f>
        <v>215</v>
      </c>
    </row>
    <row r="5" spans="1:17" ht="15" customHeight="1" x14ac:dyDescent="0.2">
      <c r="A5" s="3">
        <v>43040</v>
      </c>
      <c r="B5" s="4">
        <v>242</v>
      </c>
      <c r="C5" s="6">
        <f t="shared" si="0"/>
        <v>237</v>
      </c>
      <c r="E5" s="5"/>
      <c r="O5" s="3">
        <v>43040</v>
      </c>
      <c r="P5" s="4">
        <v>242</v>
      </c>
      <c r="Q5" s="2">
        <f t="shared" ref="Q5:Q14" si="1">AVERAGE(P3:P4)</f>
        <v>226</v>
      </c>
    </row>
    <row r="6" spans="1:17" ht="15" customHeight="1" x14ac:dyDescent="0.2">
      <c r="A6" s="3">
        <v>43070</v>
      </c>
      <c r="B6" s="4">
        <v>256</v>
      </c>
      <c r="C6" s="6">
        <f t="shared" si="0"/>
        <v>249</v>
      </c>
      <c r="E6" s="5"/>
      <c r="O6" s="3">
        <v>43070</v>
      </c>
      <c r="P6" s="4">
        <v>256</v>
      </c>
      <c r="Q6" s="2">
        <f t="shared" si="1"/>
        <v>237</v>
      </c>
    </row>
    <row r="7" spans="1:17" ht="15" customHeight="1" x14ac:dyDescent="0.2">
      <c r="A7" s="3">
        <v>43101</v>
      </c>
      <c r="B7" s="4">
        <v>270</v>
      </c>
      <c r="C7" s="6">
        <f t="shared" si="0"/>
        <v>263</v>
      </c>
      <c r="E7" s="5"/>
      <c r="O7" s="3">
        <v>43101</v>
      </c>
      <c r="P7" s="4">
        <v>270</v>
      </c>
      <c r="Q7" s="2">
        <f t="shared" si="1"/>
        <v>249</v>
      </c>
    </row>
    <row r="8" spans="1:17" ht="15" customHeight="1" x14ac:dyDescent="0.2">
      <c r="A8" s="3">
        <v>43132</v>
      </c>
      <c r="B8" s="4">
        <v>285</v>
      </c>
      <c r="C8" s="6">
        <f t="shared" si="0"/>
        <v>277.5</v>
      </c>
      <c r="E8" s="5"/>
      <c r="O8" s="3">
        <v>43132</v>
      </c>
      <c r="P8" s="4">
        <v>285</v>
      </c>
      <c r="Q8" s="2">
        <f t="shared" si="1"/>
        <v>263</v>
      </c>
    </row>
    <row r="9" spans="1:17" ht="15" customHeight="1" x14ac:dyDescent="0.2">
      <c r="A9" s="3">
        <v>43160</v>
      </c>
      <c r="B9" s="4">
        <v>300</v>
      </c>
      <c r="C9" s="6">
        <f t="shared" si="0"/>
        <v>292.5</v>
      </c>
      <c r="E9" s="5"/>
      <c r="O9" s="3">
        <v>43160</v>
      </c>
      <c r="P9" s="4">
        <v>300</v>
      </c>
      <c r="Q9" s="2">
        <f t="shared" si="1"/>
        <v>277.5</v>
      </c>
    </row>
    <row r="10" spans="1:17" ht="15" customHeight="1" x14ac:dyDescent="0.2">
      <c r="A10" s="3">
        <v>43191</v>
      </c>
      <c r="B10" s="4">
        <v>318</v>
      </c>
      <c r="C10" s="6">
        <f t="shared" si="0"/>
        <v>309</v>
      </c>
      <c r="E10" s="5"/>
      <c r="O10" s="3">
        <v>43191</v>
      </c>
      <c r="P10" s="4">
        <v>318</v>
      </c>
      <c r="Q10" s="2">
        <f t="shared" si="1"/>
        <v>292.5</v>
      </c>
    </row>
    <row r="11" spans="1:17" ht="15" customHeight="1" x14ac:dyDescent="0.2">
      <c r="A11" s="3">
        <v>43221</v>
      </c>
      <c r="B11" s="4">
        <v>336</v>
      </c>
      <c r="C11" s="6">
        <f t="shared" si="0"/>
        <v>327</v>
      </c>
      <c r="E11" s="5"/>
      <c r="O11" s="3">
        <v>43221</v>
      </c>
      <c r="P11" s="4">
        <v>336</v>
      </c>
      <c r="Q11" s="2">
        <f t="shared" si="1"/>
        <v>309</v>
      </c>
    </row>
    <row r="12" spans="1:17" ht="15" customHeight="1" x14ac:dyDescent="0.2">
      <c r="A12" s="3">
        <v>43252</v>
      </c>
      <c r="B12" s="4">
        <v>355</v>
      </c>
      <c r="C12" s="6">
        <f t="shared" si="0"/>
        <v>345.5</v>
      </c>
      <c r="E12" s="5"/>
      <c r="O12" s="3">
        <v>43252</v>
      </c>
      <c r="P12" s="4">
        <v>355</v>
      </c>
      <c r="Q12" s="2">
        <f t="shared" si="1"/>
        <v>327</v>
      </c>
    </row>
    <row r="13" spans="1:17" ht="15" customHeight="1" x14ac:dyDescent="0.2">
      <c r="A13" s="3">
        <v>43282</v>
      </c>
      <c r="B13" s="4">
        <v>380</v>
      </c>
      <c r="C13" s="6">
        <f>AVERAGE(B12:B13)</f>
        <v>367.5</v>
      </c>
      <c r="E13" s="5"/>
      <c r="O13" s="3">
        <v>43282</v>
      </c>
      <c r="P13" s="4">
        <v>380</v>
      </c>
      <c r="Q13" s="2">
        <f t="shared" si="1"/>
        <v>345.5</v>
      </c>
    </row>
    <row r="14" spans="1:17" ht="15" customHeight="1" x14ac:dyDescent="0.2">
      <c r="Q14" s="2">
        <f t="shared" si="1"/>
        <v>367.5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移动平均模型预测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2019-04-07T12:22:13Z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c3ffde21-2c0a-4162-9783-3a4ec1176955</vt:lpwstr>
  </property>
</Properties>
</file>