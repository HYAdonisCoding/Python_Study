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filterPrivacy="1" codeName="ThisWorkbook"/>
  <xr:revisionPtr revIDLastSave="0" documentId="13_ncr:1_{0F3CC5A1-DF8F-45A6-B33F-F280C9A61E10}" xr6:coauthVersionLast="43" xr6:coauthVersionMax="43" xr10:uidLastSave="{00000000-0000-0000-0000-000000000000}"/>
  <bookViews>
    <workbookView xWindow="-120" yWindow="-120" windowWidth="24240" windowHeight="13140" tabRatio="847" activeTab="10" xr2:uid="{00000000-000D-0000-FFFF-FFFF00000000}"/>
  </bookViews>
  <sheets>
    <sheet name="AND" sheetId="1" r:id="rId1"/>
    <sheet name="OR" sheetId="2" r:id="rId2"/>
    <sheet name="NOT" sheetId="3" r:id="rId3"/>
    <sheet name="IF" sheetId="4" r:id="rId4"/>
    <sheet name="IFERROR" sheetId="5" r:id="rId5"/>
    <sheet name="IFERROR-2" sheetId="11" r:id="rId6"/>
    <sheet name="ISERROR" sheetId="6" r:id="rId7"/>
    <sheet name="ISERROR-2" sheetId="12" r:id="rId8"/>
    <sheet name="ISTEXT" sheetId="7" r:id="rId9"/>
    <sheet name="ISNUMBER" sheetId="8" r:id="rId10"/>
    <sheet name="实战一" sheetId="9" r:id="rId11"/>
    <sheet name="实战二" sheetId="10" r:id="rId12"/>
  </sheets>
  <definedNames>
    <definedName name="_xlnm._FilterDatabase" localSheetId="8" hidden="1">ISTEXT!#REF!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0" l="1" a="1"/>
  <c r="G2" i="10"/>
  <c r="F2" i="10" a="1"/>
  <c r="F2" i="10"/>
  <c r="F3" i="10" a="1"/>
  <c r="F3" i="10"/>
  <c r="F4" i="10" a="1"/>
  <c r="F4" i="10"/>
  <c r="F5" i="10" a="1"/>
  <c r="F5" i="10"/>
  <c r="F6" i="10" a="1"/>
  <c r="F6" i="10"/>
  <c r="G3" i="10" a="1"/>
  <c r="G3" i="10"/>
  <c r="G4" i="10" a="1"/>
  <c r="G4" i="10"/>
  <c r="G5" i="10" a="1"/>
  <c r="G5" i="10"/>
  <c r="G6" i="10" a="1"/>
  <c r="G6" i="10"/>
  <c r="F6" i="6" l="1"/>
  <c r="F3" i="6"/>
  <c r="F2" i="6"/>
  <c r="F3" i="4" l="1"/>
  <c r="E3" i="4"/>
  <c r="E4" i="8" l="1"/>
  <c r="E3" i="8"/>
  <c r="E2" i="8"/>
  <c r="E4" i="7"/>
  <c r="E3" i="7"/>
  <c r="E2" i="7"/>
  <c r="F5" i="5"/>
  <c r="F3" i="5"/>
  <c r="F2" i="5"/>
  <c r="F3" i="12" l="1" a="1"/>
  <c r="F3" i="12" s="1"/>
  <c r="F2" i="12" a="1"/>
  <c r="F2" i="12" s="1"/>
  <c r="B4" i="12"/>
  <c r="F5" i="12" s="1"/>
  <c r="F5" i="6"/>
  <c r="F4" i="12" l="1"/>
  <c r="B4" i="11"/>
  <c r="F3" i="11" s="1"/>
  <c r="F2" i="11" l="1" a="1"/>
  <c r="F2" i="11" s="1"/>
  <c r="E2" i="9"/>
  <c r="E3" i="9"/>
  <c r="E4" i="9"/>
  <c r="E5" i="9"/>
  <c r="E6" i="9"/>
  <c r="B4" i="6" l="1"/>
  <c r="F4" i="6" s="1"/>
  <c r="B4" i="5"/>
  <c r="F4" i="5" s="1"/>
  <c r="I2" i="6" l="1" a="1"/>
  <c r="I2" i="6" s="1"/>
  <c r="I5" i="6"/>
  <c r="I3" i="6" a="1"/>
  <c r="I3" i="6" s="1"/>
  <c r="I4" i="6"/>
  <c r="F4" i="4"/>
  <c r="F5" i="4"/>
  <c r="F6" i="4"/>
  <c r="F7" i="4"/>
  <c r="F8" i="4"/>
  <c r="E8" i="4"/>
  <c r="E7" i="4" l="1"/>
  <c r="E6" i="4"/>
  <c r="E5" i="4"/>
  <c r="E4" i="4"/>
  <c r="B5" i="3" l="1"/>
  <c r="B4" i="3"/>
  <c r="B3" i="3"/>
  <c r="B2" i="3"/>
  <c r="B5" i="2"/>
  <c r="B4" i="2"/>
  <c r="B3" i="2"/>
  <c r="B2" i="2"/>
  <c r="B5" i="1"/>
  <c r="B4" i="1"/>
  <c r="B3" i="1"/>
  <c r="B2" i="1"/>
</calcChain>
</file>

<file path=xl/sharedStrings.xml><?xml version="1.0" encoding="utf-8"?>
<sst xmlns="http://schemas.openxmlformats.org/spreadsheetml/2006/main" count="160" uniqueCount="106">
  <si>
    <t>公式</t>
    <phoneticPr fontId="1" type="noConversion"/>
  </si>
  <si>
    <t>结果</t>
    <phoneticPr fontId="1" type="noConversion"/>
  </si>
  <si>
    <t>lily</t>
    <phoneticPr fontId="1" type="noConversion"/>
  </si>
  <si>
    <t>jack</t>
    <phoneticPr fontId="1" type="noConversion"/>
  </si>
  <si>
    <t>sim</t>
    <phoneticPr fontId="1" type="noConversion"/>
  </si>
  <si>
    <t>serry</t>
    <phoneticPr fontId="1" type="noConversion"/>
  </si>
  <si>
    <t>sam</t>
    <phoneticPr fontId="1" type="noConversion"/>
  </si>
  <si>
    <t>F</t>
    <phoneticPr fontId="1" type="noConversion"/>
  </si>
  <si>
    <t>M</t>
    <phoneticPr fontId="1" type="noConversion"/>
  </si>
  <si>
    <t>waves</t>
    <phoneticPr fontId="1" type="noConversion"/>
  </si>
  <si>
    <t>产品类型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</si>
  <si>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</si>
  <si>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</si>
  <si>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</si>
  <si>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</si>
  <si>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销售额/元</t>
    <phoneticPr fontId="1" type="noConversion"/>
  </si>
  <si>
    <t>说明</t>
    <phoneticPr fontId="1" type="noConversion"/>
  </si>
  <si>
    <t>统计销售额为错误值的个数</t>
    <phoneticPr fontId="1" type="noConversion"/>
  </si>
  <si>
    <t>数据</t>
    <phoneticPr fontId="1" type="noConversion"/>
  </si>
  <si>
    <t>"123"</t>
    <phoneticPr fontId="1" type="noConversion"/>
  </si>
  <si>
    <t>bigdata</t>
    <phoneticPr fontId="1" type="noConversion"/>
  </si>
  <si>
    <t>销售ID</t>
    <phoneticPr fontId="1" type="noConversion"/>
  </si>
  <si>
    <t>SX-1</t>
    <phoneticPr fontId="1" type="noConversion"/>
  </si>
  <si>
    <t>SX-2</t>
  </si>
  <si>
    <t>SX-3</t>
  </si>
  <si>
    <t>SX-4</t>
  </si>
  <si>
    <t>SX-5</t>
  </si>
  <si>
    <t>性别</t>
    <phoneticPr fontId="1" type="noConversion"/>
  </si>
  <si>
    <t>业绩/万</t>
    <phoneticPr fontId="1" type="noConversion"/>
  </si>
  <si>
    <t>入职时间/月</t>
    <phoneticPr fontId="1" type="noConversion"/>
  </si>
  <si>
    <t>是否转正晋升</t>
    <phoneticPr fontId="1" type="noConversion"/>
  </si>
  <si>
    <t>考核标准</t>
    <phoneticPr fontId="1" type="noConversion"/>
  </si>
  <si>
    <t>&gt;=5</t>
    <phoneticPr fontId="1" type="noConversion"/>
  </si>
  <si>
    <t>转正</t>
    <phoneticPr fontId="1" type="noConversion"/>
  </si>
  <si>
    <t>&lt;=2</t>
    <phoneticPr fontId="1" type="noConversion"/>
  </si>
  <si>
    <t>&gt;2</t>
    <phoneticPr fontId="1" type="noConversion"/>
  </si>
  <si>
    <t>&gt;=10</t>
    <phoneticPr fontId="1" type="noConversion"/>
  </si>
  <si>
    <t>晋升</t>
    <phoneticPr fontId="1" type="noConversion"/>
  </si>
  <si>
    <t>=AND(1&gt;2,2&gt;1)</t>
  </si>
  <si>
    <t>=AND(2&gt;1,1)</t>
  </si>
  <si>
    <t>=AND(-1,1)</t>
  </si>
  <si>
    <t>=AND(1,0,2)</t>
  </si>
  <si>
    <t>=OR(1&gt;2,2&gt;1)</t>
  </si>
  <si>
    <t>=OR(2&gt;1,1)</t>
  </si>
  <si>
    <t>=OR(-1,1)</t>
  </si>
  <si>
    <t>=OR(FALSE,0)</t>
  </si>
  <si>
    <t>=NOT(TRUE)</t>
  </si>
  <si>
    <t>=NOT(FALSE)</t>
  </si>
  <si>
    <t>=NOT(1&gt;2)</t>
  </si>
  <si>
    <t>=NOT(2+2=4)</t>
  </si>
  <si>
    <t>班级</t>
    <phoneticPr fontId="1" type="noConversion"/>
  </si>
  <si>
    <t>姓名</t>
    <phoneticPr fontId="1" type="noConversion"/>
  </si>
  <si>
    <t>成绩</t>
    <phoneticPr fontId="1" type="noConversion"/>
  </si>
  <si>
    <t>将B2:B5区域内的错误值处理成0</t>
    <phoneticPr fontId="1" type="noConversion"/>
  </si>
  <si>
    <t>{=SUM(IFERROR(B2:B5,0))}</t>
    <phoneticPr fontId="1" type="noConversion"/>
  </si>
  <si>
    <t>=SUMIF(B2:B5,"&lt;9e307")</t>
    <phoneticPr fontId="1" type="noConversion"/>
  </si>
  <si>
    <t>商品</t>
    <phoneticPr fontId="1" type="noConversion"/>
  </si>
  <si>
    <t>苹果</t>
    <phoneticPr fontId="1" type="noConversion"/>
  </si>
  <si>
    <t>香蕉</t>
    <phoneticPr fontId="1" type="noConversion"/>
  </si>
  <si>
    <t>凤梨</t>
    <phoneticPr fontId="1" type="noConversion"/>
  </si>
  <si>
    <t>葡萄</t>
    <phoneticPr fontId="1" type="noConversion"/>
  </si>
  <si>
    <t>橙子</t>
    <phoneticPr fontId="1" type="noConversion"/>
  </si>
  <si>
    <t>判断B2:B6区域数据是否为错误值，错误值用1表示，否则用0表示</t>
    <phoneticPr fontId="1" type="noConversion"/>
  </si>
  <si>
    <t>公式</t>
    <phoneticPr fontId="1" type="noConversion"/>
  </si>
  <si>
    <t>=IF(ISERROR(B2),1,0)</t>
  </si>
  <si>
    <t>=IF(ISERROR(B3),1,0)</t>
  </si>
  <si>
    <t>=IF(ISERROR(B4),1,0)</t>
  </si>
  <si>
    <t>=IF(ISERROR(B5),1,0)</t>
  </si>
  <si>
    <t>=IF(ISERROR(B6),1,0)</t>
  </si>
  <si>
    <t>所有产品销售额之和</t>
    <phoneticPr fontId="1" type="noConversion"/>
  </si>
  <si>
    <t>说明</t>
    <phoneticPr fontId="1" type="noConversion"/>
  </si>
  <si>
    <t>统计错误值的个数</t>
    <phoneticPr fontId="1" type="noConversion"/>
  </si>
  <si>
    <t>{=SUM(ISERROR(B2:B6)+0)}</t>
    <phoneticPr fontId="1" type="noConversion"/>
  </si>
  <si>
    <t>{=SUM(ISERROR(B2:B6)*1)}</t>
    <phoneticPr fontId="1" type="noConversion"/>
  </si>
  <si>
    <t>=SUMPRODUCT(ISERROR(B2:B6)+0)</t>
    <phoneticPr fontId="1" type="noConversion"/>
  </si>
  <si>
    <t>=SUMPRODUCT(ISERROR(B2:B6)*1)</t>
    <phoneticPr fontId="1" type="noConversion"/>
  </si>
  <si>
    <t>=IFERROR(B2,0)</t>
  </si>
  <si>
    <t>=IFERROR(B3,0)</t>
  </si>
  <si>
    <t>=IFERROR(B4,0)</t>
  </si>
  <si>
    <t>=IFERROR(B5,0)</t>
  </si>
  <si>
    <t>=ISTEXT(A2)</t>
    <phoneticPr fontId="1" type="noConversion"/>
  </si>
  <si>
    <t>=ISTEXT(A3)</t>
    <phoneticPr fontId="1" type="noConversion"/>
  </si>
  <si>
    <t>=ISTEXT(A4)</t>
    <phoneticPr fontId="1" type="noConversion"/>
  </si>
  <si>
    <t>检测是否为文本</t>
    <phoneticPr fontId="1" type="noConversion"/>
  </si>
  <si>
    <t>检测是否为数值</t>
    <phoneticPr fontId="1" type="noConversion"/>
  </si>
  <si>
    <t>=ISNUMBER(A2)</t>
    <phoneticPr fontId="1" type="noConversion"/>
  </si>
  <si>
    <t>=ISNUMBER(A3)</t>
    <phoneticPr fontId="1" type="noConversion"/>
  </si>
  <si>
    <t>=ISNUMBER(A4)</t>
    <phoneticPr fontId="1" type="noConversion"/>
  </si>
  <si>
    <t>方法一</t>
    <phoneticPr fontId="1" type="noConversion"/>
  </si>
  <si>
    <t>方法二</t>
    <phoneticPr fontId="1" type="noConversion"/>
  </si>
  <si>
    <t>成绩等级</t>
    <phoneticPr fontId="1" type="noConversion"/>
  </si>
  <si>
    <t>销量</t>
    <phoneticPr fontId="1" type="noConversion"/>
  </si>
  <si>
    <t>入职时长/月</t>
    <phoneticPr fontId="1" type="noConversion"/>
  </si>
  <si>
    <t>姓名</t>
    <phoneticPr fontId="1" type="noConversion"/>
  </si>
  <si>
    <t>张小明</t>
    <phoneticPr fontId="1" type="noConversion"/>
  </si>
  <si>
    <t>李小雷</t>
    <phoneticPr fontId="1" type="noConversion"/>
  </si>
  <si>
    <t>王大锤</t>
    <phoneticPr fontId="1" type="noConversion"/>
  </si>
  <si>
    <t>刘大大</t>
    <phoneticPr fontId="1" type="noConversion"/>
  </si>
  <si>
    <t>韩梅梅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</si>
  <si>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</si>
  <si>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</si>
  <si>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</si>
  <si>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化学</t>
    <phoneticPr fontId="1" type="noConversion"/>
  </si>
  <si>
    <t>考试科目数</t>
    <phoneticPr fontId="1" type="noConversion"/>
  </si>
  <si>
    <t>缺考科目数</t>
    <phoneticPr fontId="1" type="noConversion"/>
  </si>
  <si>
    <t>缺考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</si>
</sst>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BD199B7-C8B3-4103-91F6-193E046623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"/>
  <sheetViews>
    <sheetView showGridLines="0" workbookViewId="0">
      <selection activeCell="E8" sqref="E8"/>
    </sheetView>
  </sheetViews>
  <sheetFormatPr defaultRowHeight="15" customHeight="1" x14ac:dyDescent="0.2"/>
  <cols>
    <col min="1" max="2" width="14" style="7" customWidth="1"/>
    <col min="3" max="16384" width="9" style="6"/>
  </cols>
  <sheetData>
    <row r="1" spans="1:5" ht="15" customHeight="1" x14ac:dyDescent="0.2">
      <c r="A1" s="1" t="s">
        <v>0</v>
      </c>
      <c r="B1" s="1" t="s">
        <v>1</v>
      </c>
    </row>
    <row r="2" spans="1:5" ht="15" customHeight="1" x14ac:dyDescent="0.2">
      <c r="A2" s="9" t="s">
        <v>38</v>
      </c>
      <c r="B2" s="10" t="b">
        <f>AND(1&gt;2,2&gt;1)</f>
        <v>0</v>
      </c>
    </row>
    <row r="3" spans="1:5" ht="15" customHeight="1" x14ac:dyDescent="0.2">
      <c r="A3" s="9" t="s">
        <v>39</v>
      </c>
      <c r="B3" s="10" t="b">
        <f>AND(2&gt;1,1)</f>
        <v>1</v>
      </c>
    </row>
    <row r="4" spans="1:5" ht="15" customHeight="1" x14ac:dyDescent="0.2">
      <c r="A4" s="9" t="s">
        <v>40</v>
      </c>
      <c r="B4" s="10" t="b">
        <f>AND(-1,1)</f>
        <v>1</v>
      </c>
      <c r="D4" s="8"/>
      <c r="E4" s="8"/>
    </row>
    <row r="5" spans="1:5" ht="15" customHeight="1" x14ac:dyDescent="0.2">
      <c r="A5" s="9" t="s">
        <v>41</v>
      </c>
      <c r="B5" s="10" t="b">
        <f>AND(1,0,2)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1BD3-92BC-4C32-958B-7EA3A9DE844E}">
  <sheetPr codeName="Sheet2"/>
  <dimension ref="A1:B15"/>
  <sheetViews>
    <sheetView showGridLines="0" workbookViewId="0">
      <selection activeCell="B1" sqref="A1:B1048576"/>
    </sheetView>
  </sheetViews>
  <sheetFormatPr defaultRowHeight="15" customHeight="1" x14ac:dyDescent="0.2"/>
  <cols>
    <col min="1" max="2" width="13.875" style="6" customWidth="1"/>
    <col min="3" max="16384" width="9" style="6"/>
  </cols>
  <sheetData>
    <row r="1" spans="1:2" ht="15" customHeight="1" x14ac:dyDescent="0.2">
      <c r="A1" s="1" t="s">
        <v>0</v>
      </c>
      <c r="B1" s="1" t="s">
        <v>1</v>
      </c>
    </row>
    <row r="2" spans="1:2" ht="15" customHeight="1" x14ac:dyDescent="0.2">
      <c r="A2" s="4" t="s">
        <v>42</v>
      </c>
      <c r="B2" s="2" t="b">
        <f>OR(1&gt;2,2&gt;1)</f>
        <v>1</v>
      </c>
    </row>
    <row r="3" spans="1:2" ht="15" customHeight="1" x14ac:dyDescent="0.2">
      <c r="A3" s="4" t="s">
        <v>43</v>
      </c>
      <c r="B3" s="2" t="b">
        <f>OR(2&gt;1,1)</f>
        <v>1</v>
      </c>
    </row>
    <row r="4" spans="1:2" ht="15" customHeight="1" x14ac:dyDescent="0.2">
      <c r="A4" s="4" t="s">
        <v>44</v>
      </c>
      <c r="B4" s="2" t="b">
        <f>OR(-1,1)</f>
        <v>1</v>
      </c>
    </row>
    <row r="5" spans="1:2" ht="15" customHeight="1" x14ac:dyDescent="0.2">
      <c r="A5" s="4" t="s">
        <v>45</v>
      </c>
      <c r="B5" s="2" t="b">
        <f>OR(FALSE,0)</f>
        <v>0</v>
      </c>
    </row>
    <row r="6" spans="1:2" ht="15" customHeight="1" x14ac:dyDescent="0.2">
      <c r="A6" s="7"/>
    </row>
    <row r="7" spans="1:2" ht="15" customHeight="1" x14ac:dyDescent="0.2">
      <c r="A7" s="7"/>
    </row>
    <row r="8" spans="1:2" ht="15" customHeight="1" x14ac:dyDescent="0.2">
      <c r="A8" s="7"/>
    </row>
    <row r="9" spans="1:2" ht="15" customHeight="1" x14ac:dyDescent="0.2">
      <c r="A9" s="7"/>
    </row>
    <row r="10" spans="1:2" ht="15" customHeight="1" x14ac:dyDescent="0.2">
      <c r="A10" s="7"/>
    </row>
    <row r="11" spans="1:2" ht="15" customHeight="1" x14ac:dyDescent="0.2">
      <c r="A11" s="7"/>
    </row>
    <row r="12" spans="1:2" ht="15" customHeight="1" x14ac:dyDescent="0.2">
      <c r="A12" s="7"/>
    </row>
    <row r="13" spans="1:2" ht="15" customHeight="1" x14ac:dyDescent="0.2">
      <c r="A13" s="7"/>
    </row>
    <row r="14" spans="1:2" ht="15" customHeight="1" x14ac:dyDescent="0.2">
      <c r="A14" s="7"/>
    </row>
    <row r="15" spans="1:2" ht="15" customHeight="1" x14ac:dyDescent="0.2">
      <c r="A15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FADD-D97F-45D0-BD3C-7B0110A473C1}">
  <sheetPr codeName="Sheet3"/>
  <dimension ref="A1:B5"/>
  <sheetViews>
    <sheetView showGridLines="0" workbookViewId="0">
      <selection activeCell="B1" sqref="B1"/>
    </sheetView>
  </sheetViews>
  <sheetFormatPr defaultRowHeight="15" customHeight="1" x14ac:dyDescent="0.2"/>
  <cols>
    <col min="1" max="2" width="13.875" style="6" customWidth="1"/>
    <col min="3" max="16384" width="9" style="6"/>
  </cols>
  <sheetData>
    <row r="1" spans="1:2" ht="15" customHeight="1" x14ac:dyDescent="0.2">
      <c r="A1" s="1" t="s">
        <v>0</v>
      </c>
      <c r="B1" s="1" t="s">
        <v>1</v>
      </c>
    </row>
    <row r="2" spans="1:2" ht="15" customHeight="1" x14ac:dyDescent="0.2">
      <c r="A2" s="4" t="s">
        <v>46</v>
      </c>
      <c r="B2" s="2" t="b">
        <f>NOT(TRUE)</f>
        <v>0</v>
      </c>
    </row>
    <row r="3" spans="1:2" ht="15" customHeight="1" x14ac:dyDescent="0.2">
      <c r="A3" s="4" t="s">
        <v>47</v>
      </c>
      <c r="B3" s="2" t="b">
        <f>NOT(FALSE)</f>
        <v>1</v>
      </c>
    </row>
    <row r="4" spans="1:2" ht="15" customHeight="1" x14ac:dyDescent="0.2">
      <c r="A4" s="4" t="s">
        <v>48</v>
      </c>
      <c r="B4" s="2" t="b">
        <f>NOT(1&gt;2)</f>
        <v>1</v>
      </c>
    </row>
    <row r="5" spans="1:2" ht="15" customHeight="1" x14ac:dyDescent="0.2">
      <c r="A5" s="4" t="s">
        <v>49</v>
      </c>
      <c r="B5" s="2" t="b">
        <f>NOT(2+2=4)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F4F0-B637-40F0-AB33-1B8C81517C26}">
  <sheetPr codeName="Sheet4"/>
  <dimension ref="A1:F8"/>
  <sheetViews>
    <sheetView showGridLines="0" zoomScaleNormal="100" workbookViewId="0">
      <selection activeCell="E3" sqref="E3"/>
    </sheetView>
  </sheetViews>
  <sheetFormatPr defaultRowHeight="15" customHeight="1" x14ac:dyDescent="0.2"/>
  <cols>
    <col min="1" max="6" width="8.25" style="6" customWidth="1"/>
    <col min="7" max="16384" width="9" style="6"/>
  </cols>
  <sheetData>
    <row r="1" spans="1:6" ht="15" customHeight="1" x14ac:dyDescent="0.2">
      <c r="A1" s="16" t="s">
        <v>50</v>
      </c>
      <c r="B1" s="16" t="s">
        <v>51</v>
      </c>
      <c r="C1" s="16" t="s">
        <v>27</v>
      </c>
      <c r="D1" s="16" t="s">
        <v>52</v>
      </c>
      <c r="E1" s="14" t="s">
        <v>90</v>
      </c>
      <c r="F1" s="15"/>
    </row>
    <row r="2" spans="1:6" ht="15" customHeight="1" x14ac:dyDescent="0.2">
      <c r="A2" s="16"/>
      <c r="B2" s="16"/>
      <c r="C2" s="16"/>
      <c r="D2" s="16"/>
      <c r="E2" s="11" t="s">
        <v>88</v>
      </c>
      <c r="F2" s="11" t="s">
        <v>89</v>
      </c>
    </row>
    <row r="3" spans="1:6" ht="15" customHeight="1" x14ac:dyDescent="0.2">
      <c r="A3" s="5">
        <v>1</v>
      </c>
      <c r="B3" s="5" t="s">
        <v>2</v>
      </c>
      <c r="C3" s="5" t="s">
        <v>7</v>
      </c>
      <c r="D3" s="5">
        <v>64</v>
      </c>
      <c r="E3" s="5" t="str">
        <f>IF(D3&lt;60,"不及格",IF(D3&lt;85,"及格","优秀"))</f>
        <v>及格</v>
      </c>
      <c r="F3" s="5" t="str">
        <f>IF(D3&gt;=85,"优秀",IF(D3&gt;=60,"及格","不及格"))</f>
        <v>及格</v>
      </c>
    </row>
    <row r="4" spans="1:6" ht="15" customHeight="1" x14ac:dyDescent="0.2">
      <c r="A4" s="5">
        <v>1</v>
      </c>
      <c r="B4" s="5" t="s">
        <v>3</v>
      </c>
      <c r="C4" s="5" t="s">
        <v>8</v>
      </c>
      <c r="D4" s="5">
        <v>85</v>
      </c>
      <c r="E4" s="5" t="str">
        <f t="shared" ref="E4:E6" si="0">IF(D4&lt;60,"不及格",IF(D4&lt;85,"及格","优秀"))</f>
        <v>优秀</v>
      </c>
      <c r="F4" s="5" t="str">
        <f t="shared" ref="F4:F8" si="1">IF(D4&gt;=85,"优秀",IF(D4&gt;=60,"及格","不及格"))</f>
        <v>优秀</v>
      </c>
    </row>
    <row r="5" spans="1:6" ht="15" customHeight="1" x14ac:dyDescent="0.2">
      <c r="A5" s="5">
        <v>1</v>
      </c>
      <c r="B5" s="5" t="s">
        <v>4</v>
      </c>
      <c r="C5" s="5" t="s">
        <v>8</v>
      </c>
      <c r="D5" s="5">
        <v>83</v>
      </c>
      <c r="E5" s="5" t="str">
        <f t="shared" si="0"/>
        <v>及格</v>
      </c>
      <c r="F5" s="5" t="str">
        <f t="shared" si="1"/>
        <v>及格</v>
      </c>
    </row>
    <row r="6" spans="1:6" ht="15" customHeight="1" x14ac:dyDescent="0.2">
      <c r="A6" s="5">
        <v>2</v>
      </c>
      <c r="B6" s="5" t="s">
        <v>5</v>
      </c>
      <c r="C6" s="5" t="s">
        <v>7</v>
      </c>
      <c r="D6" s="5">
        <v>52</v>
      </c>
      <c r="E6" s="5" t="str">
        <f t="shared" si="0"/>
        <v>不及格</v>
      </c>
      <c r="F6" s="5" t="str">
        <f t="shared" si="1"/>
        <v>不及格</v>
      </c>
    </row>
    <row r="7" spans="1:6" ht="15" customHeight="1" x14ac:dyDescent="0.2">
      <c r="A7" s="5">
        <v>2</v>
      </c>
      <c r="B7" s="5" t="s">
        <v>6</v>
      </c>
      <c r="C7" s="5" t="s">
        <v>8</v>
      </c>
      <c r="D7" s="5">
        <v>71</v>
      </c>
      <c r="E7" s="5" t="str">
        <f>IF(D7&lt;60,"不及格",IF(D7&lt;85,"及格","优秀"))</f>
        <v>及格</v>
      </c>
      <c r="F7" s="5" t="str">
        <f t="shared" si="1"/>
        <v>及格</v>
      </c>
    </row>
    <row r="8" spans="1:6" ht="15" customHeight="1" x14ac:dyDescent="0.2">
      <c r="A8" s="5">
        <v>2</v>
      </c>
      <c r="B8" s="5" t="s">
        <v>9</v>
      </c>
      <c r="C8" s="5" t="s">
        <v>8</v>
      </c>
      <c r="D8" s="5">
        <v>92</v>
      </c>
      <c r="E8" s="5" t="str">
        <f>IF(D8&lt;60,"不及格",IF(D8&lt;85,"及格","优秀"))</f>
        <v>优秀</v>
      </c>
      <c r="F8" s="5" t="str">
        <f t="shared" si="1"/>
        <v>优秀</v>
      </c>
    </row>
  </sheetData>
  <mergeCells count="5">
    <mergeCell ref="E1:F1"/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7AC8-1AB3-4490-A684-3BE1E951079A}">
  <sheetPr codeName="Sheet5"/>
  <dimension ref="A1:F5"/>
  <sheetViews>
    <sheetView showGridLines="0" workbookViewId="0">
      <selection activeCell="F1" sqref="F1:F1048576"/>
    </sheetView>
  </sheetViews>
  <sheetFormatPr defaultRowHeight="15" customHeight="1" x14ac:dyDescent="0.2"/>
  <cols>
    <col min="1" max="1" width="8.5" style="6" bestFit="1" customWidth="1"/>
    <col min="2" max="2" width="9.5" style="6" bestFit="1" customWidth="1"/>
    <col min="3" max="3" width="9.375" style="6" customWidth="1"/>
    <col min="4" max="4" width="14.125" style="6" bestFit="1" customWidth="1"/>
    <col min="5" max="5" width="25.125" style="8" customWidth="1"/>
    <col min="6" max="6" width="7.125" style="6" customWidth="1"/>
    <col min="7" max="7" width="5.625" style="6" customWidth="1"/>
    <col min="8" max="16384" width="9" style="6"/>
  </cols>
  <sheetData>
    <row r="1" spans="1:6" ht="15" customHeight="1" x14ac:dyDescent="0.2">
      <c r="A1" s="1" t="s">
        <v>10</v>
      </c>
      <c r="B1" s="1" t="s">
        <v>15</v>
      </c>
      <c r="D1" s="1" t="s">
        <v>0</v>
      </c>
      <c r="E1" s="1" t="s">
        <v>16</v>
      </c>
      <c r="F1" s="1" t="s">
        <v>1</v>
      </c>
    </row>
    <row r="2" spans="1:6" ht="15" customHeight="1" x14ac:dyDescent="0.2">
      <c r="A2" s="2" t="s">
        <v>11</v>
      </c>
      <c r="B2" s="2">
        <v>100</v>
      </c>
      <c r="D2" s="3" t="s">
        <v>76</v>
      </c>
      <c r="E2" s="17" t="s">
        <v>53</v>
      </c>
      <c r="F2" s="2">
        <f>IFERROR(B2,0)</f>
        <v>100</v>
      </c>
    </row>
    <row r="3" spans="1:6" ht="15" customHeight="1" x14ac:dyDescent="0.2">
      <c r="A3" s="2" t="s">
        <v>12</v>
      </c>
      <c r="B3" s="2">
        <v>200</v>
      </c>
      <c r="D3" s="3" t="s">
        <v>77</v>
      </c>
      <c r="E3" s="18"/>
      <c r="F3" s="2">
        <f>IFERROR(B3,0)</f>
        <v>200</v>
      </c>
    </row>
    <row r="4" spans="1:6" ht="15" customHeight="1" x14ac:dyDescent="0.2">
      <c r="A4" s="2" t="s">
        <v>13</v>
      </c>
      <c r="B4" s="2" t="e">
        <f>1/0</f>
        <v>#DIV/0!</v>
      </c>
      <c r="D4" s="3" t="s">
        <v>78</v>
      </c>
      <c r="E4" s="18"/>
      <c r="F4" s="2">
        <f>IFERROR(B4,0)</f>
        <v>0</v>
      </c>
    </row>
    <row r="5" spans="1:6" ht="15" customHeight="1" x14ac:dyDescent="0.2">
      <c r="A5" s="2" t="s">
        <v>14</v>
      </c>
      <c r="B5" s="2">
        <v>300</v>
      </c>
      <c r="D5" s="3" t="s">
        <v>79</v>
      </c>
      <c r="E5" s="18"/>
      <c r="F5" s="2">
        <f>IFERROR(B5,0)</f>
        <v>300</v>
      </c>
    </row>
  </sheetData>
  <mergeCells count="1">
    <mergeCell ref="E2:E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739C-2F6D-4EE4-ACB7-B4BBBC24578E}">
  <sheetPr codeName="Sheet6"/>
  <dimension ref="A1:F5"/>
  <sheetViews>
    <sheetView showGridLines="0" workbookViewId="0">
      <selection activeCell="I11" sqref="I11"/>
    </sheetView>
  </sheetViews>
  <sheetFormatPr defaultRowHeight="15" customHeight="1" x14ac:dyDescent="0.2"/>
  <cols>
    <col min="1" max="1" width="8.5" style="6" bestFit="1" customWidth="1"/>
    <col min="2" max="2" width="9.5" style="6" bestFit="1" customWidth="1"/>
    <col min="3" max="3" width="8.375" style="6" customWidth="1"/>
    <col min="4" max="4" width="23.875" style="6" customWidth="1"/>
    <col min="5" max="5" width="16.25" style="6" customWidth="1"/>
    <col min="6" max="6" width="7.125" style="6" customWidth="1"/>
    <col min="7" max="16384" width="9" style="6"/>
  </cols>
  <sheetData>
    <row r="1" spans="1:6" ht="15" customHeight="1" x14ac:dyDescent="0.2">
      <c r="A1" s="1" t="s">
        <v>10</v>
      </c>
      <c r="B1" s="1" t="s">
        <v>15</v>
      </c>
      <c r="D1" s="1" t="s">
        <v>0</v>
      </c>
      <c r="E1" s="1" t="s">
        <v>70</v>
      </c>
      <c r="F1" s="1" t="s">
        <v>1</v>
      </c>
    </row>
    <row r="2" spans="1:6" ht="15" customHeight="1" x14ac:dyDescent="0.2">
      <c r="A2" s="2" t="s">
        <v>11</v>
      </c>
      <c r="B2" s="2">
        <v>100</v>
      </c>
      <c r="D2" s="3" t="s">
        <v>54</v>
      </c>
      <c r="E2" s="19" t="s">
        <v>69</v>
      </c>
      <c r="F2" s="2">
        <f t="array" ref="F2">SUM(IFERROR(B2:B5,0))</f>
        <v>600</v>
      </c>
    </row>
    <row r="3" spans="1:6" ht="15" customHeight="1" x14ac:dyDescent="0.2">
      <c r="A3" s="2" t="s">
        <v>12</v>
      </c>
      <c r="B3" s="2">
        <v>200</v>
      </c>
      <c r="D3" s="3" t="s">
        <v>55</v>
      </c>
      <c r="E3" s="20"/>
      <c r="F3" s="2">
        <f>SUMIF(B2:B5,"&lt;9e307")</f>
        <v>600</v>
      </c>
    </row>
    <row r="4" spans="1:6" ht="15" customHeight="1" x14ac:dyDescent="0.2">
      <c r="A4" s="2" t="s">
        <v>13</v>
      </c>
      <c r="B4" s="2" t="e">
        <f>1/0</f>
        <v>#DIV/0!</v>
      </c>
    </row>
    <row r="5" spans="1:6" ht="15" customHeight="1" x14ac:dyDescent="0.2">
      <c r="A5" s="2" t="s">
        <v>14</v>
      </c>
      <c r="B5" s="2">
        <v>300</v>
      </c>
    </row>
  </sheetData>
  <mergeCells count="1">
    <mergeCell ref="E2:E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6B01-AF80-450F-A7CA-FEBB4622C261}">
  <sheetPr codeName="Sheet7"/>
  <dimension ref="A1:I6"/>
  <sheetViews>
    <sheetView showGridLines="0" workbookViewId="0">
      <selection activeCell="C1" sqref="C1:C1048576"/>
    </sheetView>
  </sheetViews>
  <sheetFormatPr defaultRowHeight="15" customHeight="1" x14ac:dyDescent="0.2"/>
  <cols>
    <col min="1" max="2" width="10" style="6" customWidth="1"/>
    <col min="3" max="3" width="8" style="6" customWidth="1"/>
    <col min="4" max="4" width="20" style="6" bestFit="1" customWidth="1"/>
    <col min="5" max="5" width="20.375" style="6" customWidth="1"/>
    <col min="6" max="6" width="7.125" style="6" customWidth="1"/>
    <col min="7" max="8" width="9.125" style="6" customWidth="1"/>
    <col min="9" max="9" width="23.875" style="6" bestFit="1" customWidth="1"/>
    <col min="10" max="16384" width="9" style="6"/>
  </cols>
  <sheetData>
    <row r="1" spans="1:9" ht="15" customHeight="1" x14ac:dyDescent="0.2">
      <c r="A1" s="1" t="s">
        <v>56</v>
      </c>
      <c r="B1" s="1" t="s">
        <v>91</v>
      </c>
      <c r="D1" s="1" t="s">
        <v>63</v>
      </c>
      <c r="E1" s="1" t="s">
        <v>16</v>
      </c>
      <c r="F1" s="1" t="s">
        <v>1</v>
      </c>
      <c r="I1" s="1" t="s">
        <v>17</v>
      </c>
    </row>
    <row r="2" spans="1:9" ht="15" customHeight="1" x14ac:dyDescent="0.2">
      <c r="A2" s="2" t="s">
        <v>57</v>
      </c>
      <c r="B2" s="2" t="e">
        <v>#N/A</v>
      </c>
      <c r="D2" s="3" t="s">
        <v>64</v>
      </c>
      <c r="E2" s="17" t="s">
        <v>62</v>
      </c>
      <c r="F2" s="2">
        <f>IF(ISERROR(B2),1,0)</f>
        <v>1</v>
      </c>
      <c r="I2" s="2">
        <f t="array" ref="I2">SUM(ISERROR(B2:B6)+0)</f>
        <v>3</v>
      </c>
    </row>
    <row r="3" spans="1:9" ht="15" customHeight="1" x14ac:dyDescent="0.2">
      <c r="A3" s="2" t="s">
        <v>58</v>
      </c>
      <c r="B3" s="2">
        <v>200</v>
      </c>
      <c r="D3" s="3" t="s">
        <v>65</v>
      </c>
      <c r="E3" s="17"/>
      <c r="F3" s="2">
        <f>IF(ISERROR(B3),1,0)</f>
        <v>0</v>
      </c>
      <c r="I3" s="2">
        <f t="array" ref="I3">SUM(ISERROR(B2:B6)*1)</f>
        <v>3</v>
      </c>
    </row>
    <row r="4" spans="1:9" ht="15" customHeight="1" x14ac:dyDescent="0.2">
      <c r="A4" s="2" t="s">
        <v>59</v>
      </c>
      <c r="B4" s="2" t="e">
        <f>1/0</f>
        <v>#DIV/0!</v>
      </c>
      <c r="D4" s="3" t="s">
        <v>66</v>
      </c>
      <c r="E4" s="17"/>
      <c r="F4" s="2">
        <f>IF(ISERROR(B4),1,0)</f>
        <v>1</v>
      </c>
      <c r="I4" s="2">
        <f>SUMPRODUCT(ISERROR(B2:B6)+0)</f>
        <v>3</v>
      </c>
    </row>
    <row r="5" spans="1:9" ht="15" customHeight="1" x14ac:dyDescent="0.2">
      <c r="A5" s="2" t="s">
        <v>60</v>
      </c>
      <c r="B5" s="2">
        <v>300</v>
      </c>
      <c r="D5" s="3" t="s">
        <v>67</v>
      </c>
      <c r="E5" s="17"/>
      <c r="F5" s="2">
        <f>IF(ISERROR(B5),1,0)</f>
        <v>0</v>
      </c>
      <c r="I5" s="2">
        <f>SUMPRODUCT(ISERROR(B2:B6)*1)</f>
        <v>3</v>
      </c>
    </row>
    <row r="6" spans="1:9" ht="15" customHeight="1" x14ac:dyDescent="0.2">
      <c r="A6" s="2" t="s">
        <v>61</v>
      </c>
      <c r="B6" s="2" t="e">
        <v>#VALUE!</v>
      </c>
      <c r="D6" s="3" t="s">
        <v>68</v>
      </c>
      <c r="E6" s="17"/>
      <c r="F6" s="2">
        <f>IF(ISERROR(B6),1,0)</f>
        <v>1</v>
      </c>
    </row>
  </sheetData>
  <mergeCells count="1">
    <mergeCell ref="E2:E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1D9D-2EFE-4585-9DB8-2BAD6D51BA00}">
  <sheetPr codeName="Sheet8"/>
  <dimension ref="A1:F6"/>
  <sheetViews>
    <sheetView showGridLines="0" workbookViewId="0">
      <selection activeCell="F2" sqref="F2"/>
    </sheetView>
  </sheetViews>
  <sheetFormatPr defaultRowHeight="15" customHeight="1" x14ac:dyDescent="0.2"/>
  <cols>
    <col min="1" max="2" width="10" style="6" customWidth="1"/>
    <col min="3" max="3" width="8" style="6" customWidth="1"/>
    <col min="4" max="4" width="26.75" style="6" customWidth="1"/>
    <col min="5" max="5" width="15" style="6" bestFit="1" customWidth="1"/>
    <col min="6" max="6" width="7.125" style="8" customWidth="1"/>
    <col min="7" max="16384" width="9" style="6"/>
  </cols>
  <sheetData>
    <row r="1" spans="1:6" ht="15" customHeight="1" x14ac:dyDescent="0.2">
      <c r="A1" s="1" t="s">
        <v>56</v>
      </c>
      <c r="B1" s="1" t="s">
        <v>91</v>
      </c>
      <c r="D1" s="1" t="s">
        <v>63</v>
      </c>
      <c r="E1" s="1" t="s">
        <v>16</v>
      </c>
      <c r="F1" s="1" t="s">
        <v>1</v>
      </c>
    </row>
    <row r="2" spans="1:6" ht="15" customHeight="1" x14ac:dyDescent="0.2">
      <c r="A2" s="2" t="s">
        <v>57</v>
      </c>
      <c r="B2" s="2" t="e">
        <v>#N/A</v>
      </c>
      <c r="D2" s="4" t="s">
        <v>72</v>
      </c>
      <c r="E2" s="21" t="s">
        <v>71</v>
      </c>
      <c r="F2" s="2">
        <f t="array" ref="F2">SUM(ISERROR(B2:B6)+0)</f>
        <v>3</v>
      </c>
    </row>
    <row r="3" spans="1:6" ht="15" customHeight="1" x14ac:dyDescent="0.2">
      <c r="A3" s="2" t="s">
        <v>58</v>
      </c>
      <c r="B3" s="2">
        <v>200</v>
      </c>
      <c r="D3" s="4" t="s">
        <v>73</v>
      </c>
      <c r="E3" s="22"/>
      <c r="F3" s="2">
        <f t="array" ref="F3">SUM(ISERROR(B2:B6)*1)</f>
        <v>3</v>
      </c>
    </row>
    <row r="4" spans="1:6" ht="15" customHeight="1" x14ac:dyDescent="0.2">
      <c r="A4" s="2" t="s">
        <v>59</v>
      </c>
      <c r="B4" s="2" t="e">
        <f>1/0</f>
        <v>#DIV/0!</v>
      </c>
      <c r="D4" s="4" t="s">
        <v>74</v>
      </c>
      <c r="E4" s="22"/>
      <c r="F4" s="2">
        <f>SUMPRODUCT(ISERROR(B2:B6)+0)</f>
        <v>3</v>
      </c>
    </row>
    <row r="5" spans="1:6" ht="15" customHeight="1" x14ac:dyDescent="0.2">
      <c r="A5" s="2" t="s">
        <v>60</v>
      </c>
      <c r="B5" s="2">
        <v>300</v>
      </c>
      <c r="D5" s="4" t="s">
        <v>75</v>
      </c>
      <c r="E5" s="23"/>
      <c r="F5" s="2">
        <f>SUMPRODUCT(ISERROR(B2:B6)*1)</f>
        <v>3</v>
      </c>
    </row>
    <row r="6" spans="1:6" ht="15" customHeight="1" x14ac:dyDescent="0.2">
      <c r="A6" s="2" t="s">
        <v>61</v>
      </c>
      <c r="B6" s="2" t="e">
        <v>#VALUE!</v>
      </c>
    </row>
  </sheetData>
  <mergeCells count="1">
    <mergeCell ref="E2:E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9586-E1A0-4D8D-9B0D-4377A3AC6E95}">
  <sheetPr codeName="Sheet9"/>
  <dimension ref="A1:E4"/>
  <sheetViews>
    <sheetView showGridLines="0" workbookViewId="0">
      <selection activeCell="B1" sqref="B1:B1048576"/>
    </sheetView>
  </sheetViews>
  <sheetFormatPr defaultRowHeight="15" customHeight="1" x14ac:dyDescent="0.2"/>
  <cols>
    <col min="1" max="1" width="10" style="6" customWidth="1"/>
    <col min="2" max="2" width="8.375" style="6" customWidth="1"/>
    <col min="3" max="3" width="11.25" style="6" bestFit="1" customWidth="1"/>
    <col min="4" max="4" width="13.125" style="6" bestFit="1" customWidth="1"/>
    <col min="5" max="5" width="7.125" style="6" customWidth="1"/>
    <col min="6" max="7" width="9.25" style="6" customWidth="1"/>
    <col min="8" max="16384" width="9" style="6"/>
  </cols>
  <sheetData>
    <row r="1" spans="1:5" ht="15" customHeight="1" x14ac:dyDescent="0.2">
      <c r="A1" s="1" t="s">
        <v>18</v>
      </c>
      <c r="C1" s="1" t="s">
        <v>0</v>
      </c>
      <c r="D1" s="1" t="s">
        <v>16</v>
      </c>
      <c r="E1" s="1" t="s">
        <v>1</v>
      </c>
    </row>
    <row r="2" spans="1:5" ht="15" customHeight="1" x14ac:dyDescent="0.2">
      <c r="A2" s="2" t="s">
        <v>19</v>
      </c>
      <c r="C2" s="3" t="s">
        <v>80</v>
      </c>
      <c r="D2" s="17" t="s">
        <v>83</v>
      </c>
      <c r="E2" s="2" t="b">
        <f>ISTEXT(A2)</f>
        <v>1</v>
      </c>
    </row>
    <row r="3" spans="1:5" ht="15" customHeight="1" x14ac:dyDescent="0.2">
      <c r="A3" s="2">
        <v>123</v>
      </c>
      <c r="C3" s="3" t="s">
        <v>81</v>
      </c>
      <c r="D3" s="17"/>
      <c r="E3" s="2" t="b">
        <f>ISTEXT(A3)</f>
        <v>0</v>
      </c>
    </row>
    <row r="4" spans="1:5" ht="15" customHeight="1" x14ac:dyDescent="0.2">
      <c r="A4" s="2" t="s">
        <v>20</v>
      </c>
      <c r="C4" s="3" t="s">
        <v>82</v>
      </c>
      <c r="D4" s="17"/>
      <c r="E4" s="2" t="b">
        <f>ISTEXT(A4)</f>
        <v>1</v>
      </c>
    </row>
  </sheetData>
  <mergeCells count="1">
    <mergeCell ref="D2:D4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2AAA-2427-46C5-B9FA-20131FE6271C}">
  <sheetPr codeName="Sheet10"/>
  <dimension ref="A1:E4"/>
  <sheetViews>
    <sheetView showGridLines="0" workbookViewId="0">
      <selection activeCell="E2" sqref="E2"/>
    </sheetView>
  </sheetViews>
  <sheetFormatPr defaultRowHeight="15" customHeight="1" x14ac:dyDescent="0.2"/>
  <cols>
    <col min="1" max="1" width="10" style="6" customWidth="1"/>
    <col min="2" max="2" width="8.375" style="6" customWidth="1"/>
    <col min="3" max="4" width="13.125" style="6" bestFit="1" customWidth="1"/>
    <col min="5" max="5" width="7.125" style="6" customWidth="1"/>
    <col min="6" max="16384" width="9" style="6"/>
  </cols>
  <sheetData>
    <row r="1" spans="1:5" ht="15" customHeight="1" x14ac:dyDescent="0.2">
      <c r="A1" s="1" t="s">
        <v>18</v>
      </c>
      <c r="C1" s="1" t="s">
        <v>0</v>
      </c>
      <c r="D1" s="1" t="s">
        <v>16</v>
      </c>
      <c r="E1" s="1" t="s">
        <v>1</v>
      </c>
    </row>
    <row r="2" spans="1:5" ht="15" customHeight="1" x14ac:dyDescent="0.2">
      <c r="A2" s="2" t="s">
        <v>19</v>
      </c>
      <c r="C2" s="3" t="s">
        <v>85</v>
      </c>
      <c r="D2" s="17" t="s">
        <v>84</v>
      </c>
      <c r="E2" s="2" t="b">
        <f>ISNUMBER(A2)</f>
        <v>0</v>
      </c>
    </row>
    <row r="3" spans="1:5" ht="15" customHeight="1" x14ac:dyDescent="0.2">
      <c r="A3" s="2">
        <v>123</v>
      </c>
      <c r="C3" s="3" t="s">
        <v>86</v>
      </c>
      <c r="D3" s="17"/>
      <c r="E3" s="2" t="b">
        <f>ISNUMBER(A3)</f>
        <v>1</v>
      </c>
    </row>
    <row r="4" spans="1:5" ht="15" customHeight="1" x14ac:dyDescent="0.2">
      <c r="A4" s="2" t="s">
        <v>20</v>
      </c>
      <c r="C4" s="3" t="s">
        <v>87</v>
      </c>
      <c r="D4" s="17"/>
      <c r="E4" s="2" t="b">
        <f>ISNUMBER(A4)</f>
        <v>0</v>
      </c>
    </row>
  </sheetData>
  <mergeCells count="1">
    <mergeCell ref="D2:D4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0E20-347E-4F60-AEC1-472DEEAD4B21}">
  <sheetPr codeName="Sheet11"/>
  <dimension ref="A1:N6"/>
  <sheetViews>
    <sheetView showGridLines="0" tabSelected="1" workbookViewId="0">
      <selection activeCell="G15" sqref="A1:XFD1048576"/>
    </sheetView>
  </sheetViews>
  <sheetFormatPr defaultRowHeight="15" customHeight="1" x14ac:dyDescent="0.2"/>
  <cols>
    <col min="1" max="5" width="12.25" style="6" customWidth="1"/>
    <col min="6" max="10" width="9" style="6"/>
    <col min="11" max="11" width="8.5" style="6" bestFit="1" customWidth="1"/>
    <col min="12" max="12" width="11.375" style="6" bestFit="1" customWidth="1"/>
    <col min="13" max="13" width="7.75" style="6" bestFit="1" customWidth="1"/>
    <col min="14" max="14" width="12.25" style="6" bestFit="1" customWidth="1"/>
    <col min="15" max="16384" width="9" style="6"/>
  </cols>
  <sheetData>
    <row r="1" spans="1:14" ht="15" customHeight="1" x14ac:dyDescent="0.2">
      <c r="A1" s="1" t="s">
        <v>21</v>
      </c>
      <c r="B1" s="1" t="s">
        <v>92</v>
      </c>
      <c r="C1" s="1" t="s">
        <v>27</v>
      </c>
      <c r="D1" s="1" t="s">
        <v>28</v>
      </c>
      <c r="E1" s="1" t="s">
        <v>30</v>
      </c>
      <c r="K1" s="24" t="s">
        <v>31</v>
      </c>
      <c r="L1" s="1" t="s">
        <v>29</v>
      </c>
      <c r="M1" s="1" t="s">
        <v>28</v>
      </c>
      <c r="N1" s="1" t="s">
        <v>30</v>
      </c>
    </row>
    <row r="2" spans="1:14" ht="15" customHeight="1" x14ac:dyDescent="0.2">
      <c r="A2" s="2" t="s">
        <v>22</v>
      </c>
      <c r="B2" s="2">
        <v>1</v>
      </c>
      <c r="C2" s="2" t="s">
        <v>7</v>
      </c>
      <c r="D2" s="2">
        <v>5.5</v>
      </c>
      <c r="E2" s="2" t="str">
        <f>IF(AND(B2&lt;=2,D2&gt;=5),"转正",IF(AND(B2&gt;2,D2&gt;=10),"晋升",""))</f>
        <v>转正</v>
      </c>
      <c r="K2" s="24"/>
      <c r="L2" s="2" t="s">
        <v>34</v>
      </c>
      <c r="M2" s="2" t="s">
        <v>32</v>
      </c>
      <c r="N2" s="2" t="s">
        <v>33</v>
      </c>
    </row>
    <row r="3" spans="1:14" ht="15" customHeight="1" x14ac:dyDescent="0.2">
      <c r="A3" s="2" t="s">
        <v>23</v>
      </c>
      <c r="B3" s="2">
        <v>2</v>
      </c>
      <c r="C3" s="2" t="s">
        <v>8</v>
      </c>
      <c r="D3" s="2">
        <v>3.2</v>
      </c>
      <c r="E3" s="2" t="str">
        <f t="shared" ref="E3:E6" si="0">IF(AND(B3&lt;=2,D3&gt;=5),"转正",IF(AND(B3&gt;2,D3&gt;=10),"晋升",""))</f>
        <v/>
      </c>
      <c r="K3" s="24"/>
      <c r="L3" s="2" t="s">
        <v>35</v>
      </c>
      <c r="M3" s="2" t="s">
        <v>36</v>
      </c>
      <c r="N3" s="2" t="s">
        <v>37</v>
      </c>
    </row>
    <row r="4" spans="1:14" ht="15" customHeight="1" x14ac:dyDescent="0.2">
      <c r="A4" s="2" t="s">
        <v>24</v>
      </c>
      <c r="B4" s="2">
        <v>4</v>
      </c>
      <c r="C4" s="2" t="s">
        <v>7</v>
      </c>
      <c r="D4" s="2">
        <v>10.9</v>
      </c>
      <c r="E4" s="2" t="str">
        <f t="shared" si="0"/>
        <v>晋升</v>
      </c>
    </row>
    <row r="5" spans="1:14" ht="15" customHeight="1" x14ac:dyDescent="0.2">
      <c r="A5" s="2" t="s">
        <v>25</v>
      </c>
      <c r="B5" s="2">
        <v>1</v>
      </c>
      <c r="C5" s="2" t="s">
        <v>8</v>
      </c>
      <c r="D5" s="2">
        <v>16.8</v>
      </c>
      <c r="E5" s="2" t="str">
        <f t="shared" si="0"/>
        <v>转正</v>
      </c>
    </row>
    <row r="6" spans="1:14" ht="15" customHeight="1" x14ac:dyDescent="0.2">
      <c r="A6" s="2" t="s">
        <v>26</v>
      </c>
      <c r="B6" s="2">
        <v>3</v>
      </c>
      <c r="C6" s="2" t="s">
        <v>7</v>
      </c>
      <c r="D6" s="2">
        <v>6.3</v>
      </c>
      <c r="E6" s="2" t="str">
        <f t="shared" si="0"/>
        <v/>
      </c>
    </row>
  </sheetData>
  <mergeCells count="1">
    <mergeCell ref="K1:K3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58B2-2B1F-4CED-A4FF-D715899B2CFE}">
  <sheetPr codeName="Sheet12"/>
  <dimension ref="A1:G6"/>
  <sheetViews>
    <sheetView showGridLines="0" workbookViewId="0">
      <selection activeCell="L30" sqref="L30"/>
    </sheetView>
  </sheetViews>
  <sheetFormatPr defaultRowHeight="15" customHeight="1" x14ac:dyDescent="0.2"/>
  <cols>
    <col min="1" max="5" width="8.5" style="6" customWidth="1"/>
    <col min="6" max="7" width="9.75" style="6" customWidth="1"/>
    <col min="8" max="16384" width="9" style="6"/>
  </cols>
  <sheetData>
    <row r="1" spans="1:7" ht="15" customHeight="1" x14ac:dyDescent="0.2">
      <c r="A1" s="13" t="s">
        <v>93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</row>
    <row r="2" spans="1:7" ht="15" customHeight="1" x14ac:dyDescent="0.2">
      <c r="A2" s="12" t="s">
        <v>94</v>
      </c>
      <c r="B2" s="12">
        <v>57</v>
      </c>
      <c r="C2" s="12" t="s">
        <v>105</v>
      </c>
      <c r="D2" s="12">
        <v>70</v>
      </c>
      <c r="E2" s="12" t="s">
        <v>105</v>
      </c>
      <c r="F2" s="12">
        <f t="array" ref="F2">SUM(ISNUMBER(B2:E2)*1)</f>
        <v>2</v>
      </c>
      <c r="G2" s="12">
        <f t="array" ref="G2">SUM(ISTEXT(B2:E2)*1)</f>
        <v>2</v>
      </c>
    </row>
    <row r="3" spans="1:7" ht="15" customHeight="1" x14ac:dyDescent="0.2">
      <c r="A3" s="12" t="s">
        <v>95</v>
      </c>
      <c r="B3" s="12">
        <v>78</v>
      </c>
      <c r="C3" s="12">
        <v>65</v>
      </c>
      <c r="D3" s="12">
        <v>87</v>
      </c>
      <c r="E3" s="12">
        <v>59</v>
      </c>
      <c r="F3" s="12">
        <f t="array" ref="F3">SUM(ISNUMBER(B3:E3)*1)</f>
        <v>4</v>
      </c>
      <c r="G3" s="12">
        <f t="array" ref="G3">SUM(ISTEXT(B3:E3)*1)</f>
        <v>0</v>
      </c>
    </row>
    <row r="4" spans="1:7" ht="15" customHeight="1" x14ac:dyDescent="0.2">
      <c r="A4" s="12" t="s">
        <v>96</v>
      </c>
      <c r="B4" s="12" t="s">
        <v>105</v>
      </c>
      <c r="C4" s="12">
        <v>61</v>
      </c>
      <c r="D4" s="12" t="s">
        <v>105</v>
      </c>
      <c r="E4" s="12">
        <v>40</v>
      </c>
      <c r="F4" s="12">
        <f t="array" ref="F4">SUM(ISNUMBER(B4:E4)*1)</f>
        <v>2</v>
      </c>
      <c r="G4" s="12">
        <f t="array" ref="G4">SUM(ISTEXT(B4:E4)*1)</f>
        <v>2</v>
      </c>
    </row>
    <row r="5" spans="1:7" ht="15" customHeight="1" x14ac:dyDescent="0.2">
      <c r="A5" s="12" t="s">
        <v>97</v>
      </c>
      <c r="B5" s="12">
        <v>98</v>
      </c>
      <c r="C5" s="12">
        <v>87</v>
      </c>
      <c r="D5" s="12" t="s">
        <v>105</v>
      </c>
      <c r="E5" s="12">
        <v>49</v>
      </c>
      <c r="F5" s="12">
        <f t="array" ref="F5">SUM(ISNUMBER(B5:E5)*1)</f>
        <v>3</v>
      </c>
      <c r="G5" s="12">
        <f t="array" ref="G5">SUM(ISTEXT(B5:E5)*1)</f>
        <v>1</v>
      </c>
    </row>
    <row r="6" spans="1:7" ht="15" customHeight="1" x14ac:dyDescent="0.2">
      <c r="A6" s="12" t="s">
        <v>98</v>
      </c>
      <c r="B6" s="12" t="s">
        <v>105</v>
      </c>
      <c r="C6" s="12" t="s">
        <v>105</v>
      </c>
      <c r="D6" s="12">
        <v>94</v>
      </c>
      <c r="E6" s="12" t="s">
        <v>105</v>
      </c>
      <c r="F6" s="12">
        <f t="array" ref="F6">SUM(ISNUMBER(B6:E6)*1)</f>
        <v>1</v>
      </c>
      <c r="G6" s="12">
        <f t="array" ref="G6">SUM(ISTEXT(B6:E6)*1)</f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AND</vt:lpstr>
      <vt:lpstr>OR</vt:lpstr>
      <vt:lpstr>NOT</vt:lpstr>
      <vt:lpstr>IF</vt:lpstr>
      <vt:lpstr>IFERROR</vt:lpstr>
      <vt:lpstr>IFERROR-2</vt:lpstr>
      <vt:lpstr>ISERROR</vt:lpstr>
      <vt:lpstr>ISERROR-2</vt:lpstr>
      <vt:lpstr>ISTEXT</vt:lpstr>
      <vt:lpstr>ISNUMBER</vt:lpstr>
      <vt:lpstr>实战一</vt:lpstr>
      <vt:lpstr>实战二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2019-04-20T10:15:00Z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4a16e0bf-c550-4ce4-97ab-9647d4f57db3</vt:lpwstr>
  </property>
</Properties>
</file>