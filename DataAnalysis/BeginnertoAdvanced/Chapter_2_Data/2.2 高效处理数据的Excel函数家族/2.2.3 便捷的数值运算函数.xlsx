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/>
  <bookViews>
    <workbookView xWindow="0" yWindow="0" windowWidth="15360" windowHeight="7500" tabRatio="757"/>
  </bookViews>
  <sheets>
    <sheet name="RAND" sheetId="1" r:id="rId1"/>
    <sheet name="RANDBETWEEN" sheetId="2" r:id="rId2"/>
    <sheet name="ABS" sheetId="3" r:id="rId3"/>
    <sheet name="MOD" sheetId="4" r:id="rId4"/>
    <sheet name="POWER" sheetId="5" r:id="rId5"/>
    <sheet name="PRODUCT" sheetId="6" r:id="rId6"/>
    <sheet name="CEILING" sheetId="7" r:id="rId7"/>
    <sheet name="FLOOR" sheetId="8" r:id="rId8"/>
    <sheet name="ROUND" sheetId="9" r:id="rId9"/>
    <sheet name="ROUNDUP" sheetId="10" r:id="rId10"/>
    <sheet name="ROUNDDOWN" sheetId="11" r:id="rId11"/>
    <sheet name="TRUNC" sheetId="12" r:id="rId12"/>
    <sheet name="实战一" sheetId="13" r:id="rId13"/>
    <sheet name="实战二" sheetId="15" r:id="rId14"/>
  </sheets>
  <definedNames>
    <definedName name="_xlnm._FilterDatabase" localSheetId="6" hidden="1">CEILING!#REF!</definedName>
    <definedName name="_xlnm._FilterDatabase" localSheetId="12" hidden="1">实战一!$A$1:$A$28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3" l="1"/>
  <c r="F3" i="13" a="1"/>
  <c r="F3" i="13"/>
  <c r="E3" i="13"/>
  <c r="G4" i="13"/>
  <c r="G5" i="13"/>
  <c r="G6" i="13"/>
  <c r="F4" i="13" a="1"/>
  <c r="F4" i="13"/>
  <c r="F5" i="13" a="1"/>
  <c r="F5" i="13"/>
  <c r="F6" i="13" a="1"/>
  <c r="F6" i="13"/>
  <c r="E4" i="13"/>
  <c r="E5" i="13"/>
  <c r="E6" i="13"/>
  <c r="E3" i="15" l="1" a="1"/>
  <c r="E3" i="15"/>
  <c r="E2" i="15" a="1"/>
  <c r="E2" i="15"/>
  <c r="C3" i="8"/>
  <c r="C4" i="8"/>
  <c r="C5" i="8"/>
  <c r="C6" i="8"/>
  <c r="C5" i="7"/>
  <c r="C3" i="7"/>
  <c r="C4" i="7"/>
  <c r="C6" i="7"/>
  <c r="C4" i="12" l="1"/>
  <c r="C3" i="12"/>
  <c r="C2" i="12"/>
  <c r="C5" i="11"/>
  <c r="C4" i="11"/>
  <c r="C3" i="11"/>
  <c r="C2" i="11"/>
  <c r="C5" i="10"/>
  <c r="C4" i="10"/>
  <c r="C3" i="10"/>
  <c r="C2" i="10"/>
  <c r="C5" i="9" l="1"/>
  <c r="C4" i="9"/>
  <c r="C3" i="9"/>
  <c r="C2" i="9"/>
  <c r="C2" i="8"/>
  <c r="C2" i="7"/>
  <c r="E3" i="6" l="1"/>
  <c r="E2" i="6"/>
  <c r="C2" i="4"/>
  <c r="C5" i="4"/>
  <c r="C4" i="4"/>
  <c r="C3" i="4"/>
  <c r="E2" i="3"/>
  <c r="D2" i="2" l="1"/>
  <c r="B2" i="13" l="1"/>
  <c r="B3" i="13"/>
  <c r="B4" i="13"/>
  <c r="B5" i="13"/>
  <c r="B6" i="13"/>
  <c r="B7" i="13"/>
  <c r="B8" i="13"/>
  <c r="B9" i="13"/>
  <c r="B10" i="13"/>
  <c r="B11" i="13"/>
  <c r="C2" i="5" l="1"/>
  <c r="C3" i="5"/>
  <c r="C4" i="5"/>
  <c r="B2" i="2" l="1"/>
  <c r="C2" i="2"/>
  <c r="C3" i="2"/>
  <c r="C4" i="2"/>
  <c r="C5" i="2"/>
  <c r="C6" i="2"/>
  <c r="D3" i="2"/>
  <c r="D4" i="2"/>
  <c r="D5" i="2"/>
  <c r="D6" i="2"/>
  <c r="B3" i="2"/>
  <c r="B4" i="2"/>
  <c r="B5" i="2"/>
  <c r="B6" i="2"/>
  <c r="B2" i="1" l="1"/>
  <c r="B3" i="1"/>
  <c r="B4" i="1"/>
  <c r="B5" i="1"/>
  <c r="B6" i="1"/>
</calcChain>
</file>

<file path=xl/sharedStrings.xml><?xml version="1.0" encoding="utf-8"?>
<sst xmlns="http://schemas.openxmlformats.org/spreadsheetml/2006/main" count="139" uniqueCount="108">
  <si>
    <t>张霞</t>
    <phoneticPr fontId="1" type="noConversion"/>
  </si>
  <si>
    <t>李敏</t>
    <phoneticPr fontId="1" type="noConversion"/>
  </si>
  <si>
    <t>王飞</t>
    <phoneticPr fontId="1" type="noConversion"/>
  </si>
  <si>
    <t>李丽</t>
    <phoneticPr fontId="1" type="noConversion"/>
  </si>
  <si>
    <t>李崇盛</t>
    <phoneticPr fontId="1" type="noConversion"/>
  </si>
  <si>
    <t>取数值-2的绝对值</t>
    <phoneticPr fontId="1" type="noConversion"/>
  </si>
  <si>
    <t>被除数</t>
    <phoneticPr fontId="1" type="noConversion"/>
  </si>
  <si>
    <t>除数</t>
    <phoneticPr fontId="1" type="noConversion"/>
  </si>
  <si>
    <t>余数</t>
    <phoneticPr fontId="1" type="noConversion"/>
  </si>
  <si>
    <t>基数</t>
    <phoneticPr fontId="1" type="noConversion"/>
  </si>
  <si>
    <t>指数</t>
    <phoneticPr fontId="1" type="noConversion"/>
  </si>
  <si>
    <t>乘幂值</t>
    <phoneticPr fontId="1" type="noConversion"/>
  </si>
  <si>
    <t>计算A2:A4区域的数字乘积</t>
    <phoneticPr fontId="1" type="noConversion"/>
  </si>
  <si>
    <t>计算A2:A4区域的数字乘积再乘以3</t>
    <phoneticPr fontId="1" type="noConversion"/>
  </si>
  <si>
    <t>结果</t>
    <phoneticPr fontId="1" type="noConversion"/>
  </si>
  <si>
    <t>要舍入的值</t>
    <phoneticPr fontId="1" type="noConversion"/>
  </si>
  <si>
    <t>说明</t>
    <phoneticPr fontId="1" type="noConversion"/>
  </si>
  <si>
    <t>数值</t>
    <phoneticPr fontId="1" type="noConversion"/>
  </si>
  <si>
    <t>四舍五入到2个小数位数</t>
    <phoneticPr fontId="1" type="noConversion"/>
  </si>
  <si>
    <t>四舍五入到3个小数位数</t>
    <phoneticPr fontId="1" type="noConversion"/>
  </si>
  <si>
    <t>四舍五入到小数点左侧1位</t>
    <phoneticPr fontId="1" type="noConversion"/>
  </si>
  <si>
    <t>向上舍入到2个小数位数</t>
    <phoneticPr fontId="1" type="noConversion"/>
  </si>
  <si>
    <t>向上舍入到3个小数位数</t>
    <phoneticPr fontId="1" type="noConversion"/>
  </si>
  <si>
    <t>向上舍入到小数点左侧1位</t>
    <phoneticPr fontId="1" type="noConversion"/>
  </si>
  <si>
    <t>向上舍入到小数点左侧2位</t>
    <phoneticPr fontId="1" type="noConversion"/>
  </si>
  <si>
    <t>ROUNDUP 的行为与 ROUND 相似，所不同的是它始终将数字进行向上舍入。</t>
    <phoneticPr fontId="1" type="noConversion"/>
  </si>
  <si>
    <t>如果 num_digits 大于 0（零），则将数字向上舍入到指定的小数位数。</t>
    <phoneticPr fontId="1" type="noConversion"/>
  </si>
  <si>
    <t>如果 num_digits 为 0，则将数字向上舍入到最接近的整数。</t>
    <phoneticPr fontId="1" type="noConversion"/>
  </si>
  <si>
    <t>如果 num_digits 小于 0，则将数字向上舍入到小数点左边的相应位数。</t>
    <phoneticPr fontId="1" type="noConversion"/>
  </si>
  <si>
    <t>ROUNDDOWN 的行为与 ROUND 相似，所不同的是它始终将数字进行向下舍入。</t>
  </si>
  <si>
    <t>如果 num_digits 为 0，则将数字向下舍入到最接近的整数。</t>
  </si>
  <si>
    <t>如果 num_digits 小于 0，则将数字向下舍入到小数点左边的相应位数。</t>
  </si>
  <si>
    <t>如果 num_digits 大于 0（零），则将数字向下舍入到指定的小数位数。</t>
    <phoneticPr fontId="1" type="noConversion"/>
  </si>
  <si>
    <t>截取整数部分</t>
    <phoneticPr fontId="1" type="noConversion"/>
  </si>
  <si>
    <t>截取到小数点左侧1位</t>
    <phoneticPr fontId="1" type="noConversion"/>
  </si>
  <si>
    <t>截取到小数点右侧2位</t>
    <phoneticPr fontId="1" type="noConversion"/>
  </si>
  <si>
    <t>年龄</t>
    <phoneticPr fontId="1" type="noConversion"/>
  </si>
  <si>
    <t>年龄组</t>
    <phoneticPr fontId="1" type="noConversion"/>
  </si>
  <si>
    <t>21~30</t>
    <phoneticPr fontId="1" type="noConversion"/>
  </si>
  <si>
    <t>31~40</t>
    <phoneticPr fontId="1" type="noConversion"/>
  </si>
  <si>
    <t>41~50</t>
    <phoneticPr fontId="1" type="noConversion"/>
  </si>
  <si>
    <t>51~60</t>
    <phoneticPr fontId="1" type="noConversion"/>
  </si>
  <si>
    <t>数据</t>
    <phoneticPr fontId="1" type="noConversion"/>
  </si>
  <si>
    <t>统计奇数个数</t>
    <phoneticPr fontId="1" type="noConversion"/>
  </si>
  <si>
    <t>统计偶数个数</t>
    <phoneticPr fontId="1" type="noConversion"/>
  </si>
  <si>
    <t>数据</t>
    <phoneticPr fontId="1" type="noConversion"/>
  </si>
  <si>
    <t>公式</t>
    <phoneticPr fontId="1" type="noConversion"/>
  </si>
  <si>
    <t>说明</t>
    <phoneticPr fontId="1" type="noConversion"/>
  </si>
  <si>
    <t>结果</t>
    <phoneticPr fontId="1" type="noConversion"/>
  </si>
  <si>
    <t>=ABS(A2)</t>
    <phoneticPr fontId="1" type="noConversion"/>
  </si>
  <si>
    <t>=MOD(A2,B2)</t>
  </si>
  <si>
    <t>=MOD(A3,B3)</t>
  </si>
  <si>
    <t>=MOD(A4,B4)</t>
  </si>
  <si>
    <t>=MOD(A5,B5)</t>
  </si>
  <si>
    <t>=POWER(A2,B2)</t>
  </si>
  <si>
    <t>=POWER(A3,B3)</t>
  </si>
  <si>
    <t>=POWER(A4,B4)</t>
  </si>
  <si>
    <t>=PRODUCT(A2:A5)</t>
    <phoneticPr fontId="1" type="noConversion"/>
  </si>
  <si>
    <t>=PRODUCT(A2:A5,3)</t>
    <phoneticPr fontId="1" type="noConversion"/>
  </si>
  <si>
    <t>公式</t>
    <phoneticPr fontId="1" type="noConversion"/>
  </si>
  <si>
    <t>=CEILING(A2,B2)</t>
  </si>
  <si>
    <t>=CEILING(A3,B3)</t>
  </si>
  <si>
    <t>=CEILING(A4,B4)</t>
  </si>
  <si>
    <t>=CEILING(A5,B5)</t>
  </si>
  <si>
    <t>=CEILING(A6,B6)</t>
  </si>
  <si>
    <t>=FLOOR(A2,B2)</t>
  </si>
  <si>
    <t>=FLOOR(A3,B3)</t>
  </si>
  <si>
    <t>=FLOOR(A4,B4)</t>
  </si>
  <si>
    <t>=FLOOR(A5,B5)</t>
  </si>
  <si>
    <t>=FLOOR(A6,B6)</t>
  </si>
  <si>
    <t>=ROUND(A2,2)</t>
  </si>
  <si>
    <t>=ROUND(A3,3)</t>
  </si>
  <si>
    <t>=ROUND(A4,-1)</t>
  </si>
  <si>
    <t>=ROUND(A5,-2)</t>
  </si>
  <si>
    <t>=ROUNDUP(A2,2)</t>
  </si>
  <si>
    <t>=ROUNDUP(A3,3)</t>
  </si>
  <si>
    <t>=ROUNDUP(A4,-1)</t>
  </si>
  <si>
    <t>=ROUNDUP(A5,-2)</t>
  </si>
  <si>
    <t>=ROUNDDOWN(A2,2)</t>
  </si>
  <si>
    <t>=ROUNDDOWN(A3,3)</t>
  </si>
  <si>
    <t>=ROUNDDOWN(A4,-1)</t>
  </si>
  <si>
    <t>=ROUNDDOWN(A5,-2)</t>
  </si>
  <si>
    <t>=TRUNC(A2)</t>
  </si>
  <si>
    <t>=TRUNC(A3,2)</t>
  </si>
  <si>
    <t>=TRUNC(A4,-1)</t>
  </si>
  <si>
    <t>姓名</t>
    <phoneticPr fontId="1" type="noConversion"/>
  </si>
  <si>
    <t>成绩</t>
    <phoneticPr fontId="1" type="noConversion"/>
  </si>
  <si>
    <t>手机号码</t>
    <phoneticPr fontId="1" type="noConversion"/>
  </si>
  <si>
    <t>性别</t>
    <phoneticPr fontId="1" type="noConversion"/>
  </si>
  <si>
    <t>{=SUM(MOD(A2:A11,2))}</t>
    <phoneticPr fontId="1" type="noConversion"/>
  </si>
  <si>
    <t>{=SUM(IF(MOD(A2:A11,2)=0,1,0))}</t>
    <phoneticPr fontId="1" type="noConversion"/>
  </si>
  <si>
    <r>
      <t xml:space="preserve">如果 </t>
    </r>
    <r>
      <rPr>
        <i/>
        <sz val="10"/>
        <color rgb="FF363636"/>
        <rFont val="宋体"/>
        <family val="3"/>
        <charset val="134"/>
      </rPr>
      <t>num_digits</t>
    </r>
    <r>
      <rPr>
        <sz val="10"/>
        <color rgb="FF363636"/>
        <rFont val="宋体"/>
        <family val="3"/>
        <charset val="134"/>
      </rPr>
      <t xml:space="preserve"> 大于 0（零），则将数字四舍五入到指定的小数位数。</t>
    </r>
    <phoneticPr fontId="1" type="noConversion"/>
  </si>
  <si>
    <r>
      <t xml:space="preserve">如果 </t>
    </r>
    <r>
      <rPr>
        <i/>
        <sz val="10"/>
        <color rgb="FF363636"/>
        <rFont val="宋体"/>
        <family val="3"/>
        <charset val="134"/>
      </rPr>
      <t>num_digits</t>
    </r>
    <r>
      <rPr>
        <sz val="10"/>
        <color rgb="FF363636"/>
        <rFont val="宋体"/>
        <family val="3"/>
        <charset val="134"/>
      </rPr>
      <t xml:space="preserve"> 等于 0，则将数字四舍五入到最接近的整数。</t>
    </r>
    <phoneticPr fontId="1" type="noConversion"/>
  </si>
  <si>
    <r>
      <t>如果</t>
    </r>
    <r>
      <rPr>
        <i/>
        <sz val="10"/>
        <color rgb="FF363636"/>
        <rFont val="宋体"/>
        <family val="3"/>
        <charset val="134"/>
      </rPr>
      <t xml:space="preserve"> num_digits</t>
    </r>
    <r>
      <rPr>
        <sz val="10"/>
        <color rgb="FF363636"/>
        <rFont val="宋体"/>
        <family val="3"/>
        <charset val="134"/>
      </rPr>
      <t xml:space="preserve"> 小于 0，则将数字四舍五入到小数点左边的相应位数。</t>
    </r>
    <phoneticPr fontId="1" type="noConversion"/>
  </si>
  <si>
    <t>uid_1</t>
    <phoneticPr fontId="1" type="noConversion"/>
  </si>
  <si>
    <t>uid_2</t>
  </si>
  <si>
    <t>uid_3</t>
  </si>
  <si>
    <t>uid_4</t>
  </si>
  <si>
    <t>uid_5</t>
  </si>
  <si>
    <t>方法一</t>
    <phoneticPr fontId="1" type="noConversion"/>
  </si>
  <si>
    <t>方法二</t>
    <phoneticPr fontId="1" type="noConversion"/>
  </si>
  <si>
    <t>方法三</t>
    <phoneticPr fontId="1" type="noConversion"/>
  </si>
  <si>
    <t>不同年龄段人数</t>
    <phoneticPr fontId="1" type="noConversion"/>
  </si>
  <si>
    <t>四舍五入到小数点左侧2位</t>
    <phoneticPr fontId="1" type="noConversion"/>
  </si>
  <si>
    <t>向下舍入到2个小数位数</t>
    <phoneticPr fontId="1" type="noConversion"/>
  </si>
  <si>
    <t>向下舍入到3个小数位数</t>
    <phoneticPr fontId="1" type="noConversion"/>
  </si>
  <si>
    <t>向下舍入到小数点左侧1位</t>
    <phoneticPr fontId="1" type="noConversion"/>
  </si>
  <si>
    <t>向下舍入到小数点左侧2位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</si>
</sst>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363636"/>
      <name val="宋体"/>
      <family val="3"/>
      <charset val="134"/>
    </font>
    <font>
      <i/>
      <sz val="10"/>
      <color rgb="FF36363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"/>
  <sheetViews>
    <sheetView showGridLines="0" tabSelected="1" workbookViewId="0">
      <selection activeCell="B2" sqref="B2"/>
    </sheetView>
  </sheetViews>
  <sheetFormatPr defaultRowHeight="15" customHeight="1" x14ac:dyDescent="0.2"/>
  <cols>
    <col min="1" max="1" width="13.875" style="4" customWidth="1"/>
    <col min="2" max="2" width="14.25" style="4" customWidth="1"/>
    <col min="3" max="16384" width="9" style="4"/>
  </cols>
  <sheetData>
    <row r="1" spans="1:2" ht="15" customHeight="1" x14ac:dyDescent="0.2">
      <c r="A1" s="1" t="s">
        <v>85</v>
      </c>
      <c r="B1" s="1" t="s">
        <v>88</v>
      </c>
    </row>
    <row r="2" spans="1:2" ht="15" customHeight="1" x14ac:dyDescent="0.2">
      <c r="A2" s="2" t="s">
        <v>94</v>
      </c>
      <c r="B2" s="2" t="str">
        <f ca="1">IF(RAND()&gt;0.5,"男","女")</f>
        <v>女</v>
      </c>
    </row>
    <row r="3" spans="1:2" ht="15" customHeight="1" x14ac:dyDescent="0.2">
      <c r="A3" s="2" t="s">
        <v>95</v>
      </c>
      <c r="B3" s="2" t="str">
        <f t="shared" ref="B3:B6" ca="1" si="0">IF(RAND()&gt;0.5,"男","女")</f>
        <v>女</v>
      </c>
    </row>
    <row r="4" spans="1:2" ht="15" customHeight="1" x14ac:dyDescent="0.2">
      <c r="A4" s="2" t="s">
        <v>96</v>
      </c>
      <c r="B4" s="2" t="str">
        <f t="shared" ca="1" si="0"/>
        <v>女</v>
      </c>
    </row>
    <row r="5" spans="1:2" ht="15" customHeight="1" x14ac:dyDescent="0.2">
      <c r="A5" s="2" t="s">
        <v>97</v>
      </c>
      <c r="B5" s="2" t="str">
        <f t="shared" ca="1" si="0"/>
        <v>女</v>
      </c>
    </row>
    <row r="6" spans="1:2" ht="15" customHeight="1" x14ac:dyDescent="0.2">
      <c r="A6" s="2" t="s">
        <v>98</v>
      </c>
      <c r="B6" s="2" t="str">
        <f t="shared" ca="1" si="0"/>
        <v>男</v>
      </c>
    </row>
    <row r="7" spans="1:2" ht="15" customHeight="1" x14ac:dyDescent="0.2">
      <c r="A7" s="3"/>
      <c r="B7" s="3"/>
    </row>
    <row r="8" spans="1:2" ht="15" customHeight="1" x14ac:dyDescent="0.2">
      <c r="A8" s="3"/>
      <c r="B8" s="3"/>
    </row>
    <row r="9" spans="1:2" ht="15" customHeight="1" x14ac:dyDescent="0.2">
      <c r="A9" s="3"/>
      <c r="B9" s="3"/>
    </row>
    <row r="10" spans="1:2" ht="15" customHeight="1" x14ac:dyDescent="0.2">
      <c r="A10" s="3"/>
      <c r="B10" s="3"/>
    </row>
    <row r="11" spans="1:2" ht="15" customHeight="1" x14ac:dyDescent="0.2">
      <c r="A11" s="3"/>
      <c r="B1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6"/>
  <sheetViews>
    <sheetView showGridLines="0" workbookViewId="0">
      <selection activeCell="D7" sqref="D7"/>
    </sheetView>
  </sheetViews>
  <sheetFormatPr defaultRowHeight="15" customHeight="1" x14ac:dyDescent="0.2"/>
  <cols>
    <col min="1" max="3" width="9" style="4"/>
    <col min="4" max="4" width="12.75" style="4" bestFit="1" customWidth="1"/>
    <col min="5" max="16384" width="9" style="4"/>
  </cols>
  <sheetData>
    <row r="1" spans="1:4" ht="15" customHeight="1" x14ac:dyDescent="0.2">
      <c r="A1" s="1" t="s">
        <v>85</v>
      </c>
      <c r="B1" s="1" t="s">
        <v>36</v>
      </c>
      <c r="C1" s="1" t="s">
        <v>86</v>
      </c>
      <c r="D1" s="1" t="s">
        <v>87</v>
      </c>
    </row>
    <row r="2" spans="1:4" ht="15" customHeight="1" x14ac:dyDescent="0.2">
      <c r="A2" s="2" t="s">
        <v>0</v>
      </c>
      <c r="B2" s="2">
        <f ca="1">RANDBETWEEN(20,25)</f>
        <v>25</v>
      </c>
      <c r="C2" s="2">
        <f ca="1">RANDBETWEEN(0,100)</f>
        <v>79</v>
      </c>
      <c r="D2" s="2" t="str">
        <f ca="1">"133" &amp; RANDBETWEEN(10000000,99999999)</f>
        <v>13359947859</v>
      </c>
    </row>
    <row r="3" spans="1:4" ht="15" customHeight="1" x14ac:dyDescent="0.2">
      <c r="A3" s="2" t="s">
        <v>1</v>
      </c>
      <c r="B3" s="2">
        <f t="shared" ref="B3:B6" ca="1" si="0">RANDBETWEEN(20,25)</f>
        <v>22</v>
      </c>
      <c r="C3" s="2">
        <f t="shared" ref="C3:C6" ca="1" si="1">RANDBETWEEN(0,100)</f>
        <v>39</v>
      </c>
      <c r="D3" s="2" t="str">
        <f t="shared" ref="D3:D6" ca="1" si="2">"133" &amp; RANDBETWEEN(10000000,99999999)</f>
        <v>13371066216</v>
      </c>
    </row>
    <row r="4" spans="1:4" ht="15" customHeight="1" x14ac:dyDescent="0.2">
      <c r="A4" s="2" t="s">
        <v>2</v>
      </c>
      <c r="B4" s="2">
        <f t="shared" ca="1" si="0"/>
        <v>21</v>
      </c>
      <c r="C4" s="2">
        <f t="shared" ca="1" si="1"/>
        <v>16</v>
      </c>
      <c r="D4" s="2" t="str">
        <f t="shared" ca="1" si="2"/>
        <v>13382043387</v>
      </c>
    </row>
    <row r="5" spans="1:4" ht="15" customHeight="1" x14ac:dyDescent="0.2">
      <c r="A5" s="2" t="s">
        <v>3</v>
      </c>
      <c r="B5" s="2">
        <f t="shared" ca="1" si="0"/>
        <v>24</v>
      </c>
      <c r="C5" s="2">
        <f t="shared" ca="1" si="1"/>
        <v>27</v>
      </c>
      <c r="D5" s="2" t="str">
        <f t="shared" ca="1" si="2"/>
        <v>13370806589</v>
      </c>
    </row>
    <row r="6" spans="1:4" ht="15" customHeight="1" x14ac:dyDescent="0.2">
      <c r="A6" s="2" t="s">
        <v>4</v>
      </c>
      <c r="B6" s="2">
        <f t="shared" ca="1" si="0"/>
        <v>21</v>
      </c>
      <c r="C6" s="2">
        <f t="shared" ca="1" si="1"/>
        <v>20</v>
      </c>
      <c r="D6" s="2" t="str">
        <f t="shared" ca="1" si="2"/>
        <v>13378593859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"/>
  <sheetViews>
    <sheetView showGridLines="0" workbookViewId="0">
      <selection activeCell="E2" sqref="E2"/>
    </sheetView>
  </sheetViews>
  <sheetFormatPr defaultRowHeight="15" customHeight="1" x14ac:dyDescent="0.2"/>
  <cols>
    <col min="1" max="3" width="9" style="3"/>
    <col min="4" max="4" width="16.125" style="3" bestFit="1" customWidth="1"/>
    <col min="5" max="16384" width="9" style="4"/>
  </cols>
  <sheetData>
    <row r="1" spans="1:5" ht="15" customHeight="1" x14ac:dyDescent="0.2">
      <c r="A1" s="1" t="s">
        <v>45</v>
      </c>
      <c r="B1" s="6"/>
      <c r="C1" s="1" t="s">
        <v>46</v>
      </c>
      <c r="D1" s="1" t="s">
        <v>47</v>
      </c>
      <c r="E1" s="1" t="s">
        <v>48</v>
      </c>
    </row>
    <row r="2" spans="1:5" ht="15" customHeight="1" x14ac:dyDescent="0.2">
      <c r="A2" s="2">
        <v>-2</v>
      </c>
      <c r="C2" s="7" t="s">
        <v>49</v>
      </c>
      <c r="D2" s="8" t="s">
        <v>5</v>
      </c>
      <c r="E2" s="8">
        <f>ABS(A2)</f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6"/>
  <sheetViews>
    <sheetView showGridLines="0" workbookViewId="0">
      <selection activeCell="C2" sqref="C2"/>
    </sheetView>
  </sheetViews>
  <sheetFormatPr defaultRowHeight="15" customHeight="1" x14ac:dyDescent="0.2"/>
  <cols>
    <col min="1" max="3" width="9" style="4"/>
    <col min="4" max="4" width="13.375" style="4" bestFit="1" customWidth="1"/>
    <col min="5" max="16384" width="9" style="4"/>
  </cols>
  <sheetData>
    <row r="1" spans="1:4" ht="15" customHeight="1" x14ac:dyDescent="0.2">
      <c r="A1" s="1" t="s">
        <v>6</v>
      </c>
      <c r="B1" s="1" t="s">
        <v>7</v>
      </c>
      <c r="C1" s="1" t="s">
        <v>8</v>
      </c>
      <c r="D1" s="1" t="s">
        <v>46</v>
      </c>
    </row>
    <row r="2" spans="1:4" ht="15" customHeight="1" x14ac:dyDescent="0.2">
      <c r="A2" s="2">
        <v>10</v>
      </c>
      <c r="B2" s="2">
        <v>3</v>
      </c>
      <c r="C2" s="2">
        <f>MOD(A2,B2)</f>
        <v>1</v>
      </c>
      <c r="D2" s="14" t="s">
        <v>50</v>
      </c>
    </row>
    <row r="3" spans="1:4" ht="15" customHeight="1" x14ac:dyDescent="0.2">
      <c r="A3" s="2">
        <v>-10</v>
      </c>
      <c r="B3" s="2">
        <v>3</v>
      </c>
      <c r="C3" s="2">
        <f>MOD(A3,B3)</f>
        <v>2</v>
      </c>
      <c r="D3" s="14" t="s">
        <v>51</v>
      </c>
    </row>
    <row r="4" spans="1:4" ht="15" customHeight="1" x14ac:dyDescent="0.2">
      <c r="A4" s="2">
        <v>10</v>
      </c>
      <c r="B4" s="2">
        <v>-3</v>
      </c>
      <c r="C4" s="2">
        <f>MOD(A4,B4)</f>
        <v>-2</v>
      </c>
      <c r="D4" s="14" t="s">
        <v>52</v>
      </c>
    </row>
    <row r="5" spans="1:4" ht="15" customHeight="1" x14ac:dyDescent="0.2">
      <c r="A5" s="2">
        <v>-10</v>
      </c>
      <c r="B5" s="2">
        <v>-3</v>
      </c>
      <c r="C5" s="2">
        <f>MOD(A5,B5)</f>
        <v>-1</v>
      </c>
      <c r="D5" s="14" t="s">
        <v>53</v>
      </c>
    </row>
    <row r="6" spans="1:4" ht="15" customHeight="1" x14ac:dyDescent="0.2">
      <c r="D6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4"/>
  <sheetViews>
    <sheetView showGridLines="0" workbookViewId="0">
      <selection activeCell="C2" sqref="C2"/>
    </sheetView>
  </sheetViews>
  <sheetFormatPr defaultRowHeight="15" customHeight="1" x14ac:dyDescent="0.2"/>
  <cols>
    <col min="1" max="3" width="9" style="4"/>
    <col min="4" max="4" width="15" style="4" bestFit="1" customWidth="1"/>
    <col min="5" max="16384" width="9" style="4"/>
  </cols>
  <sheetData>
    <row r="1" spans="1:4" ht="15" customHeight="1" x14ac:dyDescent="0.2">
      <c r="A1" s="1" t="s">
        <v>9</v>
      </c>
      <c r="B1" s="1" t="s">
        <v>10</v>
      </c>
      <c r="C1" s="1" t="s">
        <v>11</v>
      </c>
      <c r="D1" s="1" t="s">
        <v>46</v>
      </c>
    </row>
    <row r="2" spans="1:4" ht="15" customHeight="1" x14ac:dyDescent="0.2">
      <c r="A2" s="2">
        <v>3</v>
      </c>
      <c r="B2" s="2">
        <v>2</v>
      </c>
      <c r="C2" s="2">
        <f>POWER(A2,B2)</f>
        <v>9</v>
      </c>
      <c r="D2" s="14" t="s">
        <v>54</v>
      </c>
    </row>
    <row r="3" spans="1:4" ht="15" customHeight="1" x14ac:dyDescent="0.2">
      <c r="A3" s="2">
        <v>4.5</v>
      </c>
      <c r="B3" s="2">
        <v>2.2000000000000002</v>
      </c>
      <c r="C3" s="17">
        <f t="shared" ref="C3:C4" si="0">POWER(A3,B3)</f>
        <v>27.356940780042436</v>
      </c>
      <c r="D3" s="14" t="s">
        <v>55</v>
      </c>
    </row>
    <row r="4" spans="1:4" ht="15" customHeight="1" x14ac:dyDescent="0.2">
      <c r="A4" s="2">
        <v>9</v>
      </c>
      <c r="B4" s="2">
        <v>0.5</v>
      </c>
      <c r="C4" s="2">
        <f t="shared" si="0"/>
        <v>3</v>
      </c>
      <c r="D4" s="14" t="s">
        <v>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7"/>
  <sheetViews>
    <sheetView showGridLines="0" workbookViewId="0">
      <selection activeCell="E2" sqref="E2"/>
    </sheetView>
  </sheetViews>
  <sheetFormatPr defaultRowHeight="15" customHeight="1" x14ac:dyDescent="0.2"/>
  <cols>
    <col min="1" max="2" width="9" style="4"/>
    <col min="3" max="3" width="16.375" style="4" customWidth="1"/>
    <col min="4" max="4" width="27.25" style="4" customWidth="1"/>
    <col min="5" max="5" width="8.125" style="4" customWidth="1"/>
    <col min="6" max="16384" width="9" style="4"/>
  </cols>
  <sheetData>
    <row r="1" spans="1:5" ht="15" customHeight="1" x14ac:dyDescent="0.2">
      <c r="A1" s="1" t="s">
        <v>45</v>
      </c>
      <c r="B1" s="6"/>
      <c r="C1" s="1" t="s">
        <v>46</v>
      </c>
      <c r="D1" s="1" t="s">
        <v>47</v>
      </c>
      <c r="E1" s="1" t="s">
        <v>48</v>
      </c>
    </row>
    <row r="2" spans="1:5" ht="15" customHeight="1" x14ac:dyDescent="0.2">
      <c r="A2" s="2">
        <v>1</v>
      </c>
      <c r="B2" s="3"/>
      <c r="C2" s="12" t="s">
        <v>57</v>
      </c>
      <c r="D2" s="16" t="s">
        <v>12</v>
      </c>
      <c r="E2" s="2">
        <f>PRODUCT(A2:A5)</f>
        <v>64</v>
      </c>
    </row>
    <row r="3" spans="1:5" ht="15" customHeight="1" x14ac:dyDescent="0.2">
      <c r="A3" s="2">
        <v>2</v>
      </c>
      <c r="B3" s="3"/>
      <c r="C3" s="12" t="s">
        <v>58</v>
      </c>
      <c r="D3" s="16" t="s">
        <v>13</v>
      </c>
      <c r="E3" s="2">
        <f>PRODUCT(A2:A5,3)</f>
        <v>192</v>
      </c>
    </row>
    <row r="4" spans="1:5" ht="15" customHeight="1" x14ac:dyDescent="0.2">
      <c r="A4" s="2">
        <v>4</v>
      </c>
      <c r="B4" s="3"/>
      <c r="C4" s="3"/>
      <c r="D4" s="3"/>
      <c r="E4" s="3"/>
    </row>
    <row r="5" spans="1:5" ht="15" customHeight="1" x14ac:dyDescent="0.2">
      <c r="A5" s="2">
        <v>8</v>
      </c>
      <c r="B5" s="3"/>
      <c r="C5" s="3"/>
      <c r="D5" s="3"/>
      <c r="E5" s="3"/>
    </row>
    <row r="6" spans="1:5" ht="15" customHeight="1" x14ac:dyDescent="0.2">
      <c r="A6" s="3"/>
      <c r="B6" s="3"/>
      <c r="C6" s="3"/>
      <c r="D6" s="3"/>
      <c r="E6" s="3"/>
    </row>
    <row r="7" spans="1:5" ht="15" customHeight="1" x14ac:dyDescent="0.2">
      <c r="B7" s="3"/>
      <c r="C7" s="3"/>
      <c r="D7" s="3"/>
      <c r="E7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6"/>
  <sheetViews>
    <sheetView showGridLines="0" workbookViewId="0">
      <selection activeCell="B5" sqref="B5"/>
    </sheetView>
  </sheetViews>
  <sheetFormatPr defaultRowHeight="15" customHeight="1" x14ac:dyDescent="0.2"/>
  <cols>
    <col min="1" max="3" width="12" style="4" customWidth="1"/>
    <col min="4" max="4" width="17.25" style="4" bestFit="1" customWidth="1"/>
    <col min="5" max="16384" width="9" style="4"/>
  </cols>
  <sheetData>
    <row r="1" spans="1:4" ht="15" customHeight="1" x14ac:dyDescent="0.2">
      <c r="A1" s="1" t="s">
        <v>15</v>
      </c>
      <c r="B1" s="1" t="s">
        <v>9</v>
      </c>
      <c r="C1" s="1" t="s">
        <v>14</v>
      </c>
      <c r="D1" s="15" t="s">
        <v>59</v>
      </c>
    </row>
    <row r="2" spans="1:4" ht="15" customHeight="1" x14ac:dyDescent="0.2">
      <c r="A2" s="2">
        <v>1.5</v>
      </c>
      <c r="B2" s="2">
        <v>2</v>
      </c>
      <c r="C2" s="2">
        <f>CEILING(A2,B2)</f>
        <v>2</v>
      </c>
      <c r="D2" s="14" t="s">
        <v>60</v>
      </c>
    </row>
    <row r="3" spans="1:4" ht="15" customHeight="1" x14ac:dyDescent="0.2">
      <c r="A3" s="2">
        <v>-1.5</v>
      </c>
      <c r="B3" s="2">
        <v>-2</v>
      </c>
      <c r="C3" s="2">
        <f t="shared" ref="C3:C6" si="0">CEILING(A3,B3)</f>
        <v>-2</v>
      </c>
      <c r="D3" s="14" t="s">
        <v>61</v>
      </c>
    </row>
    <row r="4" spans="1:4" ht="15" customHeight="1" x14ac:dyDescent="0.2">
      <c r="A4" s="2">
        <v>-1.5</v>
      </c>
      <c r="B4" s="2">
        <v>2</v>
      </c>
      <c r="C4" s="2">
        <f t="shared" si="0"/>
        <v>0</v>
      </c>
      <c r="D4" s="14" t="s">
        <v>62</v>
      </c>
    </row>
    <row r="5" spans="1:4" ht="15" customHeight="1" x14ac:dyDescent="0.2">
      <c r="A5" s="2">
        <v>1.5</v>
      </c>
      <c r="B5" s="2">
        <v>-2</v>
      </c>
      <c r="C5" s="2" t="e">
        <f>CEILING(A5,B5)</f>
        <v>#NUM!</v>
      </c>
      <c r="D5" s="14" t="s">
        <v>63</v>
      </c>
    </row>
    <row r="6" spans="1:4" ht="15" customHeight="1" x14ac:dyDescent="0.2">
      <c r="A6" s="2">
        <v>1.5249999999999999</v>
      </c>
      <c r="B6" s="2">
        <v>0.01</v>
      </c>
      <c r="C6" s="2">
        <f t="shared" si="0"/>
        <v>1.53</v>
      </c>
      <c r="D6" s="14" t="s">
        <v>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6"/>
  <sheetViews>
    <sheetView showGridLines="0" workbookViewId="0">
      <selection activeCell="C2" sqref="C2"/>
    </sheetView>
  </sheetViews>
  <sheetFormatPr defaultRowHeight="15" customHeight="1" x14ac:dyDescent="0.2"/>
  <cols>
    <col min="1" max="3" width="12" style="4" customWidth="1"/>
    <col min="4" max="4" width="15.125" style="4" customWidth="1"/>
    <col min="5" max="16384" width="9" style="4"/>
  </cols>
  <sheetData>
    <row r="1" spans="1:4" ht="15" customHeight="1" x14ac:dyDescent="0.2">
      <c r="A1" s="1" t="s">
        <v>15</v>
      </c>
      <c r="B1" s="1" t="s">
        <v>9</v>
      </c>
      <c r="C1" s="1" t="s">
        <v>14</v>
      </c>
      <c r="D1" s="1" t="s">
        <v>59</v>
      </c>
    </row>
    <row r="2" spans="1:4" ht="15" customHeight="1" x14ac:dyDescent="0.2">
      <c r="A2" s="2">
        <v>1.5</v>
      </c>
      <c r="B2" s="2">
        <v>2</v>
      </c>
      <c r="C2" s="2">
        <f>FLOOR(A2,B2)</f>
        <v>0</v>
      </c>
      <c r="D2" s="14" t="s">
        <v>65</v>
      </c>
    </row>
    <row r="3" spans="1:4" ht="15" customHeight="1" x14ac:dyDescent="0.2">
      <c r="A3" s="2">
        <v>-1.5</v>
      </c>
      <c r="B3" s="2">
        <v>-2</v>
      </c>
      <c r="C3" s="2">
        <f t="shared" ref="C3:C6" si="0">FLOOR(A3,B3)</f>
        <v>0</v>
      </c>
      <c r="D3" s="14" t="s">
        <v>66</v>
      </c>
    </row>
    <row r="4" spans="1:4" ht="15" customHeight="1" x14ac:dyDescent="0.2">
      <c r="A4" s="2">
        <v>-1.5</v>
      </c>
      <c r="B4" s="2">
        <v>2</v>
      </c>
      <c r="C4" s="2">
        <f t="shared" si="0"/>
        <v>-2</v>
      </c>
      <c r="D4" s="14" t="s">
        <v>67</v>
      </c>
    </row>
    <row r="5" spans="1:4" ht="15" customHeight="1" x14ac:dyDescent="0.2">
      <c r="A5" s="2">
        <v>1.5</v>
      </c>
      <c r="B5" s="2">
        <v>-2</v>
      </c>
      <c r="C5" s="2" t="e">
        <f t="shared" si="0"/>
        <v>#NUM!</v>
      </c>
      <c r="D5" s="14" t="s">
        <v>68</v>
      </c>
    </row>
    <row r="6" spans="1:4" ht="15" customHeight="1" x14ac:dyDescent="0.2">
      <c r="A6" s="2">
        <v>1.5249999999999999</v>
      </c>
      <c r="B6" s="2">
        <v>0.01</v>
      </c>
      <c r="C6" s="2">
        <f t="shared" si="0"/>
        <v>1.52</v>
      </c>
      <c r="D6" s="14" t="s">
        <v>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16"/>
  <sheetViews>
    <sheetView showGridLines="0" workbookViewId="0">
      <selection activeCell="D10" sqref="D10"/>
    </sheetView>
  </sheetViews>
  <sheetFormatPr defaultRowHeight="15" customHeight="1" x14ac:dyDescent="0.2"/>
  <cols>
    <col min="1" max="1" width="10.25" style="4" customWidth="1"/>
    <col min="2" max="2" width="20.75" style="4" customWidth="1"/>
    <col min="3" max="3" width="9.25" style="4" customWidth="1"/>
    <col min="4" max="4" width="15" style="4" bestFit="1" customWidth="1"/>
    <col min="5" max="16384" width="9" style="4"/>
  </cols>
  <sheetData>
    <row r="1" spans="1:7" ht="15" customHeight="1" x14ac:dyDescent="0.2">
      <c r="A1" s="1" t="s">
        <v>17</v>
      </c>
      <c r="B1" s="1" t="s">
        <v>16</v>
      </c>
      <c r="C1" s="1" t="s">
        <v>14</v>
      </c>
      <c r="D1" s="1" t="s">
        <v>46</v>
      </c>
    </row>
    <row r="2" spans="1:7" ht="15" customHeight="1" x14ac:dyDescent="0.2">
      <c r="A2" s="2">
        <v>3.1415000000000002</v>
      </c>
      <c r="B2" s="11" t="s">
        <v>18</v>
      </c>
      <c r="C2" s="2">
        <f>ROUND(A2,2)</f>
        <v>3.14</v>
      </c>
      <c r="D2" s="12" t="s">
        <v>70</v>
      </c>
    </row>
    <row r="3" spans="1:7" ht="15" customHeight="1" x14ac:dyDescent="0.2">
      <c r="A3" s="2">
        <v>-3.1415000000000002</v>
      </c>
      <c r="B3" s="11" t="s">
        <v>19</v>
      </c>
      <c r="C3" s="2">
        <f>ROUND(A3,3)</f>
        <v>-3.1419999999999999</v>
      </c>
      <c r="D3" s="12" t="s">
        <v>71</v>
      </c>
      <c r="G3" s="5" t="s">
        <v>91</v>
      </c>
    </row>
    <row r="4" spans="1:7" ht="15" customHeight="1" x14ac:dyDescent="0.2">
      <c r="A4" s="2">
        <v>314.14999999999998</v>
      </c>
      <c r="B4" s="11" t="s">
        <v>20</v>
      </c>
      <c r="C4" s="2">
        <f>ROUND(A4,-1)</f>
        <v>310</v>
      </c>
      <c r="D4" s="12" t="s">
        <v>72</v>
      </c>
      <c r="G4" s="5" t="s">
        <v>92</v>
      </c>
    </row>
    <row r="5" spans="1:7" ht="15" customHeight="1" x14ac:dyDescent="0.2">
      <c r="A5" s="2">
        <v>-314.14999999999998</v>
      </c>
      <c r="B5" s="11" t="s">
        <v>103</v>
      </c>
      <c r="C5" s="2">
        <f>ROUND(A5,-2)</f>
        <v>-300</v>
      </c>
      <c r="D5" s="12" t="s">
        <v>73</v>
      </c>
      <c r="G5" s="5" t="s">
        <v>93</v>
      </c>
    </row>
    <row r="6" spans="1:7" ht="15" customHeight="1" x14ac:dyDescent="0.2">
      <c r="A6" s="13"/>
      <c r="B6" s="13"/>
      <c r="C6" s="13"/>
      <c r="D6" s="13"/>
    </row>
    <row r="7" spans="1:7" ht="15" customHeight="1" x14ac:dyDescent="0.2">
      <c r="A7" s="13"/>
      <c r="B7" s="13"/>
      <c r="C7" s="13"/>
      <c r="D7" s="13"/>
    </row>
    <row r="8" spans="1:7" ht="15" customHeight="1" x14ac:dyDescent="0.2">
      <c r="A8" s="13"/>
      <c r="B8" s="13"/>
      <c r="C8" s="13"/>
      <c r="D8" s="13"/>
    </row>
    <row r="9" spans="1:7" ht="15" customHeight="1" x14ac:dyDescent="0.2">
      <c r="A9" s="13"/>
      <c r="B9" s="13"/>
      <c r="C9" s="13"/>
      <c r="D9" s="13"/>
    </row>
    <row r="10" spans="1:7" ht="15" customHeight="1" x14ac:dyDescent="0.2">
      <c r="A10" s="13"/>
      <c r="B10" s="13"/>
      <c r="C10" s="13"/>
      <c r="D10" s="13"/>
      <c r="G10" s="13"/>
    </row>
    <row r="11" spans="1:7" ht="15" customHeight="1" x14ac:dyDescent="0.2">
      <c r="A11" s="13"/>
      <c r="B11" s="13"/>
      <c r="C11" s="13"/>
      <c r="D11" s="13"/>
    </row>
    <row r="12" spans="1:7" ht="15" customHeight="1" x14ac:dyDescent="0.2">
      <c r="A12" s="13"/>
      <c r="B12" s="13"/>
      <c r="C12" s="13"/>
      <c r="D12" s="13"/>
    </row>
    <row r="13" spans="1:7" ht="15" customHeight="1" x14ac:dyDescent="0.2">
      <c r="A13" s="13"/>
      <c r="B13" s="13"/>
      <c r="C13" s="13"/>
      <c r="D13" s="13"/>
    </row>
    <row r="14" spans="1:7" ht="15" customHeight="1" x14ac:dyDescent="0.2">
      <c r="A14" s="13"/>
      <c r="B14" s="13"/>
      <c r="C14" s="13"/>
      <c r="D14" s="13"/>
    </row>
    <row r="15" spans="1:7" ht="15" customHeight="1" x14ac:dyDescent="0.2">
      <c r="A15" s="13"/>
      <c r="B15" s="13"/>
      <c r="C15" s="13"/>
      <c r="D15" s="13"/>
    </row>
    <row r="16" spans="1:7" ht="15" customHeight="1" x14ac:dyDescent="0.2">
      <c r="A16" s="13"/>
      <c r="B16" s="13"/>
      <c r="C16" s="13"/>
      <c r="D16" s="1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8"/>
  <sheetViews>
    <sheetView showGridLines="0" workbookViewId="0">
      <selection activeCell="B6" sqref="B6"/>
    </sheetView>
  </sheetViews>
  <sheetFormatPr defaultRowHeight="15" customHeight="1" x14ac:dyDescent="0.2"/>
  <cols>
    <col min="1" max="1" width="9" style="4"/>
    <col min="2" max="2" width="21.125" style="4" customWidth="1"/>
    <col min="3" max="3" width="9.5" style="4" customWidth="1"/>
    <col min="4" max="4" width="17.25" style="4" bestFit="1" customWidth="1"/>
    <col min="5" max="16384" width="9" style="4"/>
  </cols>
  <sheetData>
    <row r="1" spans="1:7" ht="15" customHeight="1" x14ac:dyDescent="0.2">
      <c r="A1" s="1" t="s">
        <v>17</v>
      </c>
      <c r="B1" s="1" t="s">
        <v>16</v>
      </c>
      <c r="C1" s="1" t="s">
        <v>14</v>
      </c>
      <c r="D1" s="1" t="s">
        <v>46</v>
      </c>
    </row>
    <row r="2" spans="1:7" ht="15" customHeight="1" x14ac:dyDescent="0.2">
      <c r="A2" s="2">
        <v>3.1415000000000002</v>
      </c>
      <c r="B2" s="11" t="s">
        <v>21</v>
      </c>
      <c r="C2" s="2">
        <f>ROUNDUP(A2,2)</f>
        <v>3.15</v>
      </c>
      <c r="D2" s="12" t="s">
        <v>74</v>
      </c>
      <c r="G2" s="5" t="s">
        <v>25</v>
      </c>
    </row>
    <row r="3" spans="1:7" ht="15" customHeight="1" x14ac:dyDescent="0.2">
      <c r="A3" s="2">
        <v>-3.1415000000000002</v>
      </c>
      <c r="B3" s="11" t="s">
        <v>22</v>
      </c>
      <c r="C3" s="2">
        <f>ROUNDUP(A3,3)</f>
        <v>-3.1419999999999999</v>
      </c>
      <c r="D3" s="12" t="s">
        <v>75</v>
      </c>
      <c r="G3" s="5" t="s">
        <v>26</v>
      </c>
    </row>
    <row r="4" spans="1:7" ht="15" customHeight="1" x14ac:dyDescent="0.2">
      <c r="A4" s="2">
        <v>314.14999999999998</v>
      </c>
      <c r="B4" s="11" t="s">
        <v>23</v>
      </c>
      <c r="C4" s="2">
        <f>ROUNDUP(A4,-1)</f>
        <v>320</v>
      </c>
      <c r="D4" s="12" t="s">
        <v>76</v>
      </c>
      <c r="G4" s="5" t="s">
        <v>27</v>
      </c>
    </row>
    <row r="5" spans="1:7" ht="15" customHeight="1" x14ac:dyDescent="0.2">
      <c r="A5" s="2">
        <v>-314.14999999999998</v>
      </c>
      <c r="B5" s="11" t="s">
        <v>24</v>
      </c>
      <c r="C5" s="2">
        <f>ROUNDUP(A5,-2)</f>
        <v>-400</v>
      </c>
      <c r="D5" s="12" t="s">
        <v>77</v>
      </c>
      <c r="G5" s="5" t="s">
        <v>28</v>
      </c>
    </row>
    <row r="6" spans="1:7" ht="15" customHeight="1" x14ac:dyDescent="0.2">
      <c r="B6" s="13"/>
    </row>
    <row r="7" spans="1:7" ht="15" customHeight="1" x14ac:dyDescent="0.2">
      <c r="B7" s="13"/>
    </row>
    <row r="8" spans="1:7" ht="15" customHeight="1" x14ac:dyDescent="0.2">
      <c r="B8" s="1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7"/>
  <sheetViews>
    <sheetView showGridLines="0" zoomScaleNormal="100" workbookViewId="0">
      <selection activeCell="C2" sqref="C2"/>
    </sheetView>
  </sheetViews>
  <sheetFormatPr defaultRowHeight="15" customHeight="1" x14ac:dyDescent="0.2"/>
  <cols>
    <col min="1" max="1" width="9" style="4"/>
    <col min="2" max="2" width="20.875" style="4" customWidth="1"/>
    <col min="3" max="3" width="8.625" style="4" customWidth="1"/>
    <col min="4" max="4" width="18.375" style="4" bestFit="1" customWidth="1"/>
    <col min="5" max="16384" width="9" style="4"/>
  </cols>
  <sheetData>
    <row r="1" spans="1:7" ht="15" customHeight="1" x14ac:dyDescent="0.2">
      <c r="A1" s="1" t="s">
        <v>17</v>
      </c>
      <c r="B1" s="1" t="s">
        <v>16</v>
      </c>
      <c r="C1" s="1" t="s">
        <v>14</v>
      </c>
      <c r="D1" s="1" t="s">
        <v>46</v>
      </c>
    </row>
    <row r="2" spans="1:7" ht="15" customHeight="1" x14ac:dyDescent="0.2">
      <c r="A2" s="2">
        <v>3.1415000000000002</v>
      </c>
      <c r="B2" s="11" t="s">
        <v>104</v>
      </c>
      <c r="C2" s="2">
        <f>ROUNDDOWN(A2,2)</f>
        <v>3.14</v>
      </c>
      <c r="D2" s="14" t="s">
        <v>78</v>
      </c>
      <c r="G2" s="5" t="s">
        <v>29</v>
      </c>
    </row>
    <row r="3" spans="1:7" ht="15" customHeight="1" x14ac:dyDescent="0.2">
      <c r="A3" s="2">
        <v>-3.1415000000000002</v>
      </c>
      <c r="B3" s="11" t="s">
        <v>105</v>
      </c>
      <c r="C3" s="2">
        <f>ROUNDDOWN(A3,3)</f>
        <v>-3.141</v>
      </c>
      <c r="D3" s="14" t="s">
        <v>79</v>
      </c>
      <c r="G3" s="5" t="s">
        <v>32</v>
      </c>
    </row>
    <row r="4" spans="1:7" ht="15" customHeight="1" x14ac:dyDescent="0.2">
      <c r="A4" s="2">
        <v>314.14999999999998</v>
      </c>
      <c r="B4" s="11" t="s">
        <v>106</v>
      </c>
      <c r="C4" s="2">
        <f>ROUNDDOWN(A4,-1)</f>
        <v>310</v>
      </c>
      <c r="D4" s="14" t="s">
        <v>80</v>
      </c>
      <c r="G4" s="5" t="s">
        <v>30</v>
      </c>
    </row>
    <row r="5" spans="1:7" ht="15" customHeight="1" x14ac:dyDescent="0.2">
      <c r="A5" s="2">
        <v>-314.14999999999998</v>
      </c>
      <c r="B5" s="11" t="s">
        <v>107</v>
      </c>
      <c r="C5" s="2">
        <f>ROUNDDOWN(A5,-2)</f>
        <v>-300</v>
      </c>
      <c r="D5" s="14" t="s">
        <v>81</v>
      </c>
      <c r="G5" s="5" t="s">
        <v>31</v>
      </c>
    </row>
    <row r="6" spans="1:7" ht="15" customHeight="1" x14ac:dyDescent="0.2">
      <c r="B6" s="13"/>
    </row>
    <row r="7" spans="1:7" ht="15" customHeight="1" x14ac:dyDescent="0.2">
      <c r="B7" s="1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7"/>
  <sheetViews>
    <sheetView showGridLines="0" workbookViewId="0">
      <selection activeCell="J18" sqref="J18"/>
    </sheetView>
  </sheetViews>
  <sheetFormatPr defaultRowHeight="15" customHeight="1" x14ac:dyDescent="0.2"/>
  <cols>
    <col min="1" max="1" width="9" style="4"/>
    <col min="2" max="2" width="17.375" style="4" customWidth="1"/>
    <col min="3" max="3" width="9.75" style="4" customWidth="1"/>
    <col min="4" max="4" width="15" style="4" customWidth="1"/>
    <col min="5" max="16384" width="9" style="4"/>
  </cols>
  <sheetData>
    <row r="1" spans="1:4" ht="15" customHeight="1" x14ac:dyDescent="0.2">
      <c r="A1" s="1" t="s">
        <v>17</v>
      </c>
      <c r="B1" s="1" t="s">
        <v>16</v>
      </c>
      <c r="C1" s="1" t="s">
        <v>14</v>
      </c>
      <c r="D1" s="1" t="s">
        <v>46</v>
      </c>
    </row>
    <row r="2" spans="1:4" ht="15" customHeight="1" x14ac:dyDescent="0.2">
      <c r="A2" s="2">
        <v>3.1415000000000002</v>
      </c>
      <c r="B2" s="11" t="s">
        <v>33</v>
      </c>
      <c r="C2" s="2">
        <f>TRUNC(A2)</f>
        <v>3</v>
      </c>
      <c r="D2" s="12" t="s">
        <v>82</v>
      </c>
    </row>
    <row r="3" spans="1:4" ht="15" customHeight="1" x14ac:dyDescent="0.2">
      <c r="A3" s="2">
        <v>-3.1415000000000002</v>
      </c>
      <c r="B3" s="11" t="s">
        <v>35</v>
      </c>
      <c r="C3" s="2">
        <f>TRUNC(A3,2)</f>
        <v>-3.14</v>
      </c>
      <c r="D3" s="12" t="s">
        <v>83</v>
      </c>
    </row>
    <row r="4" spans="1:4" ht="15" customHeight="1" x14ac:dyDescent="0.2">
      <c r="A4" s="2">
        <v>314.14999999999998</v>
      </c>
      <c r="B4" s="11" t="s">
        <v>34</v>
      </c>
      <c r="C4" s="2">
        <f>TRUNC(A4,-1)</f>
        <v>310</v>
      </c>
      <c r="D4" s="12" t="s">
        <v>84</v>
      </c>
    </row>
    <row r="5" spans="1:4" ht="15" customHeight="1" x14ac:dyDescent="0.2">
      <c r="B5" s="13"/>
    </row>
    <row r="6" spans="1:4" ht="15" customHeight="1" x14ac:dyDescent="0.2">
      <c r="B6" s="13"/>
    </row>
    <row r="7" spans="1:4" ht="15" customHeight="1" x14ac:dyDescent="0.2">
      <c r="B7" s="1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12"/>
  <sheetViews>
    <sheetView showGridLines="0" workbookViewId="0">
      <selection activeCell="E3" sqref="E3"/>
    </sheetView>
  </sheetViews>
  <sheetFormatPr defaultRowHeight="15" customHeight="1" x14ac:dyDescent="0.2"/>
  <cols>
    <col min="1" max="1" width="9" style="3"/>
    <col min="2" max="2" width="9" style="4"/>
    <col min="3" max="3" width="9" style="3"/>
    <col min="4" max="4" width="9" style="4"/>
    <col min="5" max="7" width="9.375" style="4" customWidth="1"/>
    <col min="8" max="8" width="11.625" style="4" customWidth="1"/>
    <col min="9" max="16384" width="9" style="4"/>
  </cols>
  <sheetData>
    <row r="1" spans="1:7" ht="15" customHeight="1" x14ac:dyDescent="0.2">
      <c r="A1" s="1" t="s">
        <v>36</v>
      </c>
      <c r="B1" s="1" t="s">
        <v>37</v>
      </c>
      <c r="C1" s="10"/>
      <c r="D1" s="18" t="s">
        <v>37</v>
      </c>
      <c r="E1" s="20" t="s">
        <v>102</v>
      </c>
      <c r="F1" s="20"/>
      <c r="G1" s="20"/>
    </row>
    <row r="2" spans="1:7" ht="15" customHeight="1" x14ac:dyDescent="0.2">
      <c r="A2" s="2">
        <v>21</v>
      </c>
      <c r="B2" s="2">
        <f t="shared" ref="B2:B11" si="0">CEILING(A2,10)</f>
        <v>30</v>
      </c>
      <c r="C2" s="10"/>
      <c r="D2" s="19"/>
      <c r="E2" s="1" t="s">
        <v>99</v>
      </c>
      <c r="F2" s="1" t="s">
        <v>100</v>
      </c>
      <c r="G2" s="1" t="s">
        <v>101</v>
      </c>
    </row>
    <row r="3" spans="1:7" ht="15" customHeight="1" x14ac:dyDescent="0.2">
      <c r="A3" s="2">
        <v>23</v>
      </c>
      <c r="B3" s="2">
        <f t="shared" si="0"/>
        <v>30</v>
      </c>
      <c r="C3" s="10"/>
      <c r="D3" s="2" t="s">
        <v>38</v>
      </c>
      <c r="E3" s="2">
        <f>COUNTIFS(B:B,ROW()*10)</f>
        <v>5</v>
      </c>
      <c r="F3" s="2">
        <f t="array" ref="F3">SUM((CEILING($A$2:$A$11,10)=ROW()*10)+0)</f>
        <v>5</v>
      </c>
      <c r="G3" s="2">
        <f>COUNTIFS(A:A,"&gt;"&amp;((ROW()-1)*10),A:A,"&lt;="&amp;(ROW()*10))</f>
        <v>5</v>
      </c>
    </row>
    <row r="4" spans="1:7" ht="15" customHeight="1" x14ac:dyDescent="0.2">
      <c r="A4" s="2">
        <v>24</v>
      </c>
      <c r="B4" s="2">
        <f t="shared" si="0"/>
        <v>30</v>
      </c>
      <c r="C4" s="10"/>
      <c r="D4" s="2" t="s">
        <v>39</v>
      </c>
      <c r="E4" s="2">
        <f t="shared" ref="E4:E6" si="1">COUNTIFS(B:B,ROW()*10)</f>
        <v>2</v>
      </c>
      <c r="F4" s="2">
        <f t="array" ref="F4">SUM((CEILING($A$2:$A$11,10)=ROW()*10)+0)</f>
        <v>2</v>
      </c>
      <c r="G4" s="2">
        <f t="shared" ref="G4:G6" si="2">COUNTIFS(A:A,"&gt;"&amp;((ROW()-1)*10),A:A,"&lt;="&amp;(ROW()*10))</f>
        <v>2</v>
      </c>
    </row>
    <row r="5" spans="1:7" ht="15" customHeight="1" x14ac:dyDescent="0.2">
      <c r="A5" s="2">
        <v>25</v>
      </c>
      <c r="B5" s="2">
        <f t="shared" si="0"/>
        <v>30</v>
      </c>
      <c r="C5" s="10"/>
      <c r="D5" s="2" t="s">
        <v>40</v>
      </c>
      <c r="E5" s="2">
        <f t="shared" si="1"/>
        <v>1</v>
      </c>
      <c r="F5" s="2">
        <f t="array" ref="F5">SUM((CEILING($A$2:$A$11,10)=ROW()*10)+0)</f>
        <v>1</v>
      </c>
      <c r="G5" s="2">
        <f t="shared" si="2"/>
        <v>1</v>
      </c>
    </row>
    <row r="6" spans="1:7" ht="15" customHeight="1" x14ac:dyDescent="0.2">
      <c r="A6" s="2">
        <v>26</v>
      </c>
      <c r="B6" s="2">
        <f t="shared" si="0"/>
        <v>30</v>
      </c>
      <c r="C6" s="10"/>
      <c r="D6" s="2" t="s">
        <v>41</v>
      </c>
      <c r="E6" s="2">
        <f t="shared" si="1"/>
        <v>2</v>
      </c>
      <c r="F6" s="2">
        <f t="array" ref="F6">SUM((CEILING($A$2:$A$11,10)=ROW()*10)+0)</f>
        <v>2</v>
      </c>
      <c r="G6" s="2">
        <f t="shared" si="2"/>
        <v>2</v>
      </c>
    </row>
    <row r="7" spans="1:7" ht="15" customHeight="1" x14ac:dyDescent="0.2">
      <c r="A7" s="2">
        <v>31</v>
      </c>
      <c r="B7" s="2">
        <f t="shared" si="0"/>
        <v>40</v>
      </c>
      <c r="C7" s="10"/>
    </row>
    <row r="8" spans="1:7" ht="15" customHeight="1" x14ac:dyDescent="0.2">
      <c r="A8" s="2">
        <v>32</v>
      </c>
      <c r="B8" s="2">
        <f t="shared" si="0"/>
        <v>40</v>
      </c>
      <c r="C8" s="10"/>
    </row>
    <row r="9" spans="1:7" ht="15" customHeight="1" x14ac:dyDescent="0.2">
      <c r="A9" s="2">
        <v>50</v>
      </c>
      <c r="B9" s="2">
        <f t="shared" si="0"/>
        <v>50</v>
      </c>
      <c r="C9" s="10"/>
    </row>
    <row r="10" spans="1:7" ht="15" customHeight="1" x14ac:dyDescent="0.2">
      <c r="A10" s="2">
        <v>55</v>
      </c>
      <c r="B10" s="2">
        <f t="shared" si="0"/>
        <v>60</v>
      </c>
      <c r="C10" s="10"/>
    </row>
    <row r="11" spans="1:7" ht="15" customHeight="1" x14ac:dyDescent="0.2">
      <c r="A11" s="2">
        <v>57</v>
      </c>
      <c r="B11" s="2">
        <f t="shared" si="0"/>
        <v>60</v>
      </c>
      <c r="C11" s="10"/>
    </row>
    <row r="12" spans="1:7" ht="15" customHeight="1" x14ac:dyDescent="0.2">
      <c r="C12" s="10"/>
    </row>
  </sheetData>
  <sortState ref="A2:A28">
    <sortCondition ref="A1"/>
  </sortState>
  <mergeCells count="2">
    <mergeCell ref="D1:D2"/>
    <mergeCell ref="E1:G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1"/>
  <sheetViews>
    <sheetView showGridLines="0" workbookViewId="0">
      <selection activeCell="F18" sqref="A7:F18"/>
    </sheetView>
  </sheetViews>
  <sheetFormatPr defaultRowHeight="15" customHeight="1" x14ac:dyDescent="0.2"/>
  <cols>
    <col min="1" max="1" width="10.375" style="3" customWidth="1"/>
    <col min="2" max="2" width="9" style="4"/>
    <col min="3" max="3" width="27.875" style="4" customWidth="1"/>
    <col min="4" max="4" width="12" style="4" customWidth="1"/>
    <col min="5" max="5" width="8.5" style="4" customWidth="1"/>
    <col min="6" max="16384" width="9" style="4"/>
  </cols>
  <sheetData>
    <row r="1" spans="1:5" ht="15" customHeight="1" x14ac:dyDescent="0.2">
      <c r="A1" s="1" t="s">
        <v>42</v>
      </c>
      <c r="C1" s="1" t="s">
        <v>46</v>
      </c>
      <c r="D1" s="1" t="s">
        <v>16</v>
      </c>
      <c r="E1" s="1" t="s">
        <v>14</v>
      </c>
    </row>
    <row r="2" spans="1:5" ht="15" customHeight="1" x14ac:dyDescent="0.2">
      <c r="A2" s="2">
        <v>49</v>
      </c>
      <c r="C2" s="9" t="s">
        <v>89</v>
      </c>
      <c r="D2" s="2" t="s">
        <v>43</v>
      </c>
      <c r="E2" s="2">
        <f t="array" ref="E2">SUM(MOD(A2:A11,2))</f>
        <v>6</v>
      </c>
    </row>
    <row r="3" spans="1:5" ht="15" customHeight="1" x14ac:dyDescent="0.2">
      <c r="A3" s="2">
        <v>1</v>
      </c>
      <c r="C3" s="9" t="s">
        <v>90</v>
      </c>
      <c r="D3" s="2" t="s">
        <v>44</v>
      </c>
      <c r="E3" s="2">
        <f t="array" ref="E3">SUM(IF(MOD(A2:A11,2)=0,1,0))</f>
        <v>4</v>
      </c>
    </row>
    <row r="4" spans="1:5" ht="15" customHeight="1" x14ac:dyDescent="0.2">
      <c r="A4" s="2">
        <v>28</v>
      </c>
    </row>
    <row r="5" spans="1:5" ht="15" customHeight="1" x14ac:dyDescent="0.2">
      <c r="A5" s="2">
        <v>3</v>
      </c>
    </row>
    <row r="6" spans="1:5" ht="15" customHeight="1" x14ac:dyDescent="0.2">
      <c r="A6" s="2">
        <v>37</v>
      </c>
    </row>
    <row r="7" spans="1:5" ht="15" customHeight="1" x14ac:dyDescent="0.2">
      <c r="A7" s="2">
        <v>93</v>
      </c>
    </row>
    <row r="8" spans="1:5" ht="15" customHeight="1" x14ac:dyDescent="0.2">
      <c r="A8" s="2">
        <v>50</v>
      </c>
    </row>
    <row r="9" spans="1:5" ht="15" customHeight="1" x14ac:dyDescent="0.2">
      <c r="A9" s="2">
        <v>88</v>
      </c>
    </row>
    <row r="10" spans="1:5" ht="15" customHeight="1" x14ac:dyDescent="0.2">
      <c r="A10" s="2">
        <v>87</v>
      </c>
    </row>
    <row r="11" spans="1:5" ht="15" customHeight="1" x14ac:dyDescent="0.2">
      <c r="A11" s="2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RAND</vt:lpstr>
      <vt:lpstr>RANDBETWEEN</vt:lpstr>
      <vt:lpstr>ABS</vt:lpstr>
      <vt:lpstr>MOD</vt:lpstr>
      <vt:lpstr>POWER</vt:lpstr>
      <vt:lpstr>PRODUCT</vt:lpstr>
      <vt:lpstr>CEILING</vt:lpstr>
      <vt:lpstr>FLOOR</vt:lpstr>
      <vt:lpstr>ROUND</vt:lpstr>
      <vt:lpstr>ROUNDUP</vt:lpstr>
      <vt:lpstr>ROUNDDOWN</vt:lpstr>
      <vt:lpstr>TRUNC</vt:lpstr>
      <vt:lpstr>实战一</vt:lpstr>
      <vt:lpstr>实战二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baf15984-838b-4b34-958d-dd25f87dad85</vt:lpwstr>
  </property>
</Properties>
</file>