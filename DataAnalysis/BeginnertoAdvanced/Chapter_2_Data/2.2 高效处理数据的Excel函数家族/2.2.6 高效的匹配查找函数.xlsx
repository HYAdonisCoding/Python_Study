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19440" windowHeight="11640" tabRatio="880" firstSheet="4" activeTab="14"/>
  </bookViews>
  <sheets>
    <sheet name="CHOOSE" sheetId="1" r:id="rId1"/>
    <sheet name="VLOOKUP" sheetId="2" r:id="rId2"/>
    <sheet name="HLOOKUP" sheetId="3" r:id="rId3"/>
    <sheet name="LOOKUP-精确" sheetId="4" r:id="rId4"/>
    <sheet name="LOOKUP-模糊" sheetId="10" r:id="rId5"/>
    <sheet name="LOOKUP-不一致2" sheetId="9" r:id="rId6"/>
    <sheet name="MATCH-精确匹配" sheetId="5" r:id="rId7"/>
    <sheet name="MATCH-近似匹配" sheetId="11" r:id="rId8"/>
    <sheet name="MATCH-季度" sheetId="12" r:id="rId9"/>
    <sheet name="INDEX" sheetId="6" r:id="rId10"/>
    <sheet name="INDEX_MATCH" sheetId="13" r:id="rId11"/>
    <sheet name="OFFSET" sheetId="7" r:id="rId12"/>
    <sheet name="OFFSET-2" sheetId="14" r:id="rId13"/>
    <sheet name="INDIRECT" sheetId="8" r:id="rId14"/>
    <sheet name="实战一" sheetId="15" r:id="rId15"/>
    <sheet name="实战二" sheetId="16" r:id="rId16"/>
  </sheets>
  <definedNames>
    <definedName name="_._exercise_sql_company_info" localSheetId="14" hidden="1">实战一!#REF!</definedName>
    <definedName name="ExternalData_1" localSheetId="15" hidden="1">实战二!#REF!</definedName>
    <definedName name="localhost_exercise_sql_company_info" localSheetId="14" hidden="1">实战一!#REF!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5" l="1" a="1"/>
  <c r="G4" i="15"/>
  <c r="G5" i="15" a="1"/>
  <c r="G5" i="15"/>
  <c r="G6" i="15" a="1"/>
  <c r="G6" i="15"/>
  <c r="G3" i="15" a="1"/>
  <c r="G3" i="15"/>
  <c r="J4" i="16" l="1"/>
  <c r="F3" i="8"/>
  <c r="K4" i="16" l="1"/>
  <c r="K8" i="16"/>
  <c r="K9" i="16"/>
  <c r="K10" i="16"/>
  <c r="J6" i="16"/>
  <c r="J8" i="16"/>
  <c r="J9" i="16"/>
  <c r="J10" i="16"/>
  <c r="D3" i="16"/>
  <c r="E3" i="16"/>
  <c r="E4" i="16"/>
  <c r="D5" i="16"/>
  <c r="E5" i="16" s="1"/>
  <c r="C4" i="16"/>
  <c r="K5" i="16" s="1"/>
  <c r="C5" i="16"/>
  <c r="K6" i="16" s="1"/>
  <c r="C6" i="16"/>
  <c r="F6" i="16"/>
  <c r="C7" i="16"/>
  <c r="D7" i="16"/>
  <c r="D8" i="16"/>
  <c r="E8" i="16" s="1"/>
  <c r="J5" i="16" l="1"/>
  <c r="K7" i="16"/>
  <c r="J7" i="16"/>
  <c r="J3" i="15"/>
  <c r="J4" i="15"/>
  <c r="J5" i="15"/>
  <c r="J6" i="15"/>
  <c r="I3" i="15"/>
  <c r="I4" i="15"/>
  <c r="I5" i="15"/>
  <c r="I6" i="15"/>
  <c r="H3" i="15"/>
  <c r="H4" i="15"/>
  <c r="H5" i="15"/>
  <c r="H6" i="15"/>
  <c r="F3" i="15"/>
  <c r="F4" i="15"/>
  <c r="F5" i="15"/>
  <c r="F6" i="15"/>
  <c r="G2" i="14" l="1" a="1"/>
  <c r="G2" i="14" s="1"/>
  <c r="G2" i="7"/>
  <c r="F2" i="8"/>
  <c r="F4" i="8"/>
  <c r="I2" i="14" l="1"/>
  <c r="H2" i="14"/>
  <c r="G4" i="6"/>
  <c r="G3" i="6"/>
  <c r="G2" i="6"/>
  <c r="G2" i="11" l="1"/>
  <c r="G4" i="5"/>
  <c r="G3" i="5"/>
  <c r="G2" i="5"/>
  <c r="D2" i="12" l="1"/>
  <c r="D6" i="12"/>
  <c r="A3" i="12"/>
  <c r="A4" i="12" s="1"/>
  <c r="A5" i="12" s="1"/>
  <c r="A6" i="12" s="1"/>
  <c r="D5" i="12" l="1"/>
  <c r="D4" i="12"/>
  <c r="D3" i="12"/>
  <c r="F2" i="9"/>
  <c r="G2" i="9"/>
  <c r="G3" i="9"/>
  <c r="G4" i="9"/>
  <c r="F3" i="9"/>
  <c r="F4" i="9"/>
  <c r="F2" i="10"/>
  <c r="F2" i="4"/>
  <c r="F3" i="4"/>
  <c r="G7" i="3" l="1"/>
  <c r="H7" i="3"/>
  <c r="H8" i="3"/>
  <c r="G8" i="3"/>
  <c r="E11" i="2"/>
  <c r="G12" i="2" l="1"/>
  <c r="F12" i="2"/>
  <c r="E12" i="2"/>
  <c r="G11" i="2"/>
  <c r="F11" i="2"/>
  <c r="F4" i="1" l="1"/>
  <c r="F3" i="1"/>
  <c r="F2" i="1"/>
</calcChain>
</file>

<file path=xl/connections.xml><?xml version="1.0" encoding="utf-8"?>
<connections xmlns="http://schemas.openxmlformats.org/spreadsheetml/2006/main">
  <connection id="1" keepAlive="1" name="查询 - company_info" description="与工作簿中“company_info”查询的连接。" type="5" refreshedVersion="6" background="1" saveData="1">
    <dbPr connection="Provider=Microsoft.Mashup.OleDb.1;Data Source=$Workbook$;Location=company_info;Extended Properties=&quot;&quot;" command="SELECT * FROM [company_info]"/>
  </connection>
  <connection id="2" keepAlive="1" name="查询 - 查询1" description="与工作簿中“查询1”查询的连接。" type="5" refreshedVersion="6" background="1" saveData="1">
    <dbPr connection="Provider=Microsoft.Mashup.OleDb.1;Data Source=$Workbook$;Location=查询1;Extended Properties=&quot;&quot;" command="SELECT * FROM [查询1]"/>
  </connection>
</connections>
</file>

<file path=xl/sharedStrings.xml><?xml version="1.0" encoding="utf-8"?>
<sst xmlns="http://schemas.openxmlformats.org/spreadsheetml/2006/main" count="304" uniqueCount="159">
  <si>
    <t>公式</t>
    <phoneticPr fontId="1" type="noConversion"/>
  </si>
  <si>
    <t>说明</t>
    <phoneticPr fontId="1" type="noConversion"/>
  </si>
  <si>
    <t>结果</t>
    <phoneticPr fontId="1" type="noConversion"/>
  </si>
  <si>
    <t>jack</t>
    <phoneticPr fontId="1" type="noConversion"/>
  </si>
  <si>
    <t>lily</t>
    <phoneticPr fontId="1" type="noConversion"/>
  </si>
  <si>
    <t>sim</t>
    <phoneticPr fontId="1" type="noConversion"/>
  </si>
  <si>
    <t>miss</t>
    <phoneticPr fontId="1" type="noConversion"/>
  </si>
  <si>
    <t>取A列里面A3单元格的值</t>
    <phoneticPr fontId="1" type="noConversion"/>
  </si>
  <si>
    <t>取B列里面B4单元格的值</t>
    <phoneticPr fontId="1" type="noConversion"/>
  </si>
  <si>
    <t>计算区域B2:B5的score之和</t>
    <phoneticPr fontId="1" type="noConversion"/>
  </si>
  <si>
    <t>罗静</t>
    <phoneticPr fontId="1" type="noConversion"/>
  </si>
  <si>
    <t>张三</t>
    <phoneticPr fontId="1" type="noConversion"/>
  </si>
  <si>
    <t>李明</t>
    <phoneticPr fontId="1" type="noConversion"/>
  </si>
  <si>
    <t>王二小</t>
    <phoneticPr fontId="1" type="noConversion"/>
  </si>
  <si>
    <t>李大卫</t>
    <phoneticPr fontId="1" type="noConversion"/>
  </si>
  <si>
    <t>李霞</t>
    <phoneticPr fontId="1" type="noConversion"/>
  </si>
  <si>
    <t>张三丰</t>
    <phoneticPr fontId="1" type="noConversion"/>
  </si>
  <si>
    <t>F</t>
    <phoneticPr fontId="1" type="noConversion"/>
  </si>
  <si>
    <t>M</t>
    <phoneticPr fontId="1" type="noConversion"/>
  </si>
  <si>
    <t>李*</t>
    <phoneticPr fontId="1" type="noConversion"/>
  </si>
  <si>
    <t>工号</t>
    <phoneticPr fontId="1" type="noConversion"/>
  </si>
  <si>
    <t>姓名</t>
    <phoneticPr fontId="1" type="noConversion"/>
  </si>
  <si>
    <t>张田</t>
    <phoneticPr fontId="1" type="noConversion"/>
  </si>
  <si>
    <t>李超</t>
    <phoneticPr fontId="1" type="noConversion"/>
  </si>
  <si>
    <t>马明</t>
    <phoneticPr fontId="1" type="noConversion"/>
  </si>
  <si>
    <t>王川</t>
    <phoneticPr fontId="1" type="noConversion"/>
  </si>
  <si>
    <t>刘夏</t>
    <phoneticPr fontId="1" type="noConversion"/>
  </si>
  <si>
    <t>王新</t>
    <phoneticPr fontId="1" type="noConversion"/>
  </si>
  <si>
    <t>张元</t>
    <phoneticPr fontId="1" type="noConversion"/>
  </si>
  <si>
    <t>薪资</t>
    <phoneticPr fontId="1" type="noConversion"/>
  </si>
  <si>
    <t>奖金</t>
    <phoneticPr fontId="1" type="noConversion"/>
  </si>
  <si>
    <t>刘?</t>
    <phoneticPr fontId="1" type="noConversion"/>
  </si>
  <si>
    <t>攻击力</t>
    <phoneticPr fontId="1" type="noConversion"/>
  </si>
  <si>
    <t>唐僧</t>
    <phoneticPr fontId="1" type="noConversion"/>
  </si>
  <si>
    <t>性别</t>
    <phoneticPr fontId="1" type="noConversion"/>
  </si>
  <si>
    <t>孙悟空</t>
    <phoneticPr fontId="1" type="noConversion"/>
  </si>
  <si>
    <t>猪八戒</t>
    <phoneticPr fontId="1" type="noConversion"/>
  </si>
  <si>
    <t>沙和尚</t>
    <phoneticPr fontId="1" type="noConversion"/>
  </si>
  <si>
    <t>白骨精</t>
    <phoneticPr fontId="1" type="noConversion"/>
  </si>
  <si>
    <t>嫦娥仙子</t>
    <phoneticPr fontId="1" type="noConversion"/>
  </si>
  <si>
    <t>女儿国国王</t>
    <phoneticPr fontId="1" type="noConversion"/>
  </si>
  <si>
    <t>查找值</t>
    <phoneticPr fontId="1" type="noConversion"/>
  </si>
  <si>
    <t>返回值</t>
    <phoneticPr fontId="1" type="noConversion"/>
  </si>
  <si>
    <t>数量</t>
    <phoneticPr fontId="1" type="noConversion"/>
  </si>
  <si>
    <t>衣服</t>
    <phoneticPr fontId="1" type="noConversion"/>
  </si>
  <si>
    <t>袜子</t>
    <phoneticPr fontId="1" type="noConversion"/>
  </si>
  <si>
    <t>毛巾</t>
    <phoneticPr fontId="1" type="noConversion"/>
  </si>
  <si>
    <t>大米</t>
    <phoneticPr fontId="1" type="noConversion"/>
  </si>
  <si>
    <t>酱油</t>
    <phoneticPr fontId="1" type="noConversion"/>
  </si>
  <si>
    <t>lookup_value</t>
    <phoneticPr fontId="1" type="noConversion"/>
  </si>
  <si>
    <t>是否必须</t>
    <phoneticPr fontId="1" type="noConversion"/>
  </si>
  <si>
    <t>参数名称</t>
    <phoneticPr fontId="1" type="noConversion"/>
  </si>
  <si>
    <t>注释</t>
    <phoneticPr fontId="1" type="noConversion"/>
  </si>
  <si>
    <t>要在 lookup_array 中匹配的值。</t>
    <phoneticPr fontId="1" type="noConversion"/>
  </si>
  <si>
    <t>必需</t>
    <phoneticPr fontId="1" type="noConversion"/>
  </si>
  <si>
    <t>要搜索的单元格区域。</t>
  </si>
  <si>
    <t>可选</t>
    <phoneticPr fontId="1" type="noConversion"/>
  </si>
  <si>
    <t>数字 -1、0 或 1。此参数的默认值为 1。</t>
    <phoneticPr fontId="1" type="noConversion"/>
  </si>
  <si>
    <t>lookup_array </t>
    <phoneticPr fontId="1" type="noConversion"/>
  </si>
  <si>
    <t>match_type  </t>
    <phoneticPr fontId="1" type="noConversion"/>
  </si>
  <si>
    <t>用于指定所选定的数值参数。 index_num 必须是介于 1 到 254 之间的数字，或是包含 1 到 254 之间的数字的公式或单元格引用。</t>
    <phoneticPr fontId="1" type="noConversion"/>
  </si>
  <si>
    <t>value1,[value2],..</t>
    <phoneticPr fontId="1" type="noConversion"/>
  </si>
  <si>
    <t>-</t>
    <phoneticPr fontId="1" type="noConversion"/>
  </si>
  <si>
    <t>value1 是必需的，后续值是可选的。 1 到 254 个数值参数，CHOOSE 将根据 index_num 从中选择一个数值或一项要执行的操作。 参数可以是数字、单元格引用、定义的名称、公式、函数或文本。</t>
    <phoneticPr fontId="1" type="noConversion"/>
  </si>
  <si>
    <t>index_num</t>
    <phoneticPr fontId="1" type="noConversion"/>
  </si>
  <si>
    <t>成绩</t>
    <phoneticPr fontId="1" type="noConversion"/>
  </si>
  <si>
    <t>班级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</si>
  <si>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</si>
  <si>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</si>
  <si>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</si>
  <si>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ID</t>
    <phoneticPr fontId="1" type="noConversion"/>
  </si>
  <si>
    <t>商品名称</t>
    <phoneticPr fontId="1" type="noConversion"/>
  </si>
  <si>
    <t>数量35在C1:C6区域匹配的位置</t>
    <phoneticPr fontId="1" type="noConversion"/>
  </si>
  <si>
    <t>毛巾在A1:A6区域匹配的位置</t>
    <phoneticPr fontId="1" type="noConversion"/>
  </si>
  <si>
    <t>价格19元在B1:B6区域匹配的位置</t>
    <phoneticPr fontId="1" type="noConversion"/>
  </si>
  <si>
    <t>数量20在C1:C6区域匹配的位置</t>
    <phoneticPr fontId="1" type="noConversion"/>
  </si>
  <si>
    <t>日期</t>
    <phoneticPr fontId="1" type="noConversion"/>
  </si>
  <si>
    <t>季度</t>
    <phoneticPr fontId="1" type="noConversion"/>
  </si>
  <si>
    <t>=CHOOSE(2,A2,A3,A4,A5)</t>
    <phoneticPr fontId="1" type="noConversion"/>
  </si>
  <si>
    <t>=CHOOSE(3,B2,B3,B4,B5)</t>
    <phoneticPr fontId="1" type="noConversion"/>
  </si>
  <si>
    <t>=SUM(CHOOSE(2,A2:A5,B2:B5))</t>
    <phoneticPr fontId="1" type="noConversion"/>
  </si>
  <si>
    <t>=MATCH("毛巾",A1:A5,0)</t>
    <phoneticPr fontId="1" type="noConversion"/>
  </si>
  <si>
    <t>=MATCH(19,B1:B6,0)</t>
    <phoneticPr fontId="1" type="noConversion"/>
  </si>
  <si>
    <t>=MATCH(20,C1:C6,0)</t>
    <phoneticPr fontId="1" type="noConversion"/>
  </si>
  <si>
    <t>=MATCH(35,C1:C6,1)</t>
    <phoneticPr fontId="1" type="noConversion"/>
  </si>
  <si>
    <t>月份</t>
    <phoneticPr fontId="1" type="noConversion"/>
  </si>
  <si>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</si>
  <si>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</si>
  <si>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</si>
  <si>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</si>
  <si>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</si>
  <si>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</si>
  <si>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单元格A1:A7区域中第3个位置对应的值</t>
    <phoneticPr fontId="1" type="noConversion"/>
  </si>
  <si>
    <t>单元格A1:C1区域中第3个位置对应的值</t>
    <phoneticPr fontId="1" type="noConversion"/>
  </si>
  <si>
    <t>=INDEX(A1:A7,3)</t>
    <phoneticPr fontId="1" type="noConversion"/>
  </si>
  <si>
    <t>业绩</t>
    <phoneticPr fontId="1" type="noConversion"/>
  </si>
  <si>
    <t>=INDEX(A1:C1,3)</t>
    <phoneticPr fontId="1" type="noConversion"/>
  </si>
  <si>
    <t>单元格A1:C7与区域中第3行和第3列交叉处的数值</t>
    <phoneticPr fontId="1" type="noConversion"/>
  </si>
  <si>
    <t>=INDEX(A1:C7,3,3)</t>
    <phoneticPr fontId="1" type="noConversion"/>
  </si>
  <si>
    <t>交单数</t>
    <phoneticPr fontId="1" type="noConversion"/>
  </si>
  <si>
    <t>省份</t>
    <phoneticPr fontId="1" type="noConversion"/>
  </si>
  <si>
    <t>电器</t>
    <phoneticPr fontId="1" type="noConversion"/>
  </si>
  <si>
    <t>服装</t>
    <phoneticPr fontId="1" type="noConversion"/>
  </si>
  <si>
    <t>日用品</t>
    <phoneticPr fontId="1" type="noConversion"/>
  </si>
  <si>
    <t>江苏</t>
    <phoneticPr fontId="1" type="noConversion"/>
  </si>
  <si>
    <t>浙江</t>
    <phoneticPr fontId="1" type="noConversion"/>
  </si>
  <si>
    <t>上海</t>
    <phoneticPr fontId="1" type="noConversion"/>
  </si>
  <si>
    <t>安徽</t>
    <phoneticPr fontId="1" type="noConversion"/>
  </si>
  <si>
    <t>到访用户数</t>
    <phoneticPr fontId="1" type="noConversion"/>
  </si>
  <si>
    <t>三里桥</t>
    <phoneticPr fontId="1" type="noConversion"/>
  </si>
  <si>
    <t>南大街</t>
    <phoneticPr fontId="1" type="noConversion"/>
  </si>
  <si>
    <t>北门</t>
    <phoneticPr fontId="1" type="noConversion"/>
  </si>
  <si>
    <t>中央大道</t>
    <phoneticPr fontId="1" type="noConversion"/>
  </si>
  <si>
    <t>门店名称</t>
    <phoneticPr fontId="1" type="noConversion"/>
  </si>
  <si>
    <t>单元格B2中的引用值</t>
    <phoneticPr fontId="1" type="noConversion"/>
  </si>
  <si>
    <t>单元格B3中的引用值</t>
  </si>
  <si>
    <t>单元格B4中的引用值</t>
  </si>
  <si>
    <t>=INDIRECT("B2",TRUE)</t>
    <phoneticPr fontId="1" type="noConversion"/>
  </si>
  <si>
    <t>=INDIRECT("R3C2",0)</t>
    <phoneticPr fontId="1" type="noConversion"/>
  </si>
  <si>
    <t>=INDIRECT("B"&amp;ROW(B4),1)</t>
    <phoneticPr fontId="1" type="noConversion"/>
  </si>
  <si>
    <t>价格</t>
    <phoneticPr fontId="1" type="noConversion"/>
  </si>
  <si>
    <t>区域</t>
    <phoneticPr fontId="1" type="noConversion"/>
  </si>
  <si>
    <t>城市</t>
    <phoneticPr fontId="1" type="noConversion"/>
  </si>
  <si>
    <t>华东</t>
    <phoneticPr fontId="1" type="noConversion"/>
  </si>
  <si>
    <t>上海</t>
    <phoneticPr fontId="1" type="noConversion"/>
  </si>
  <si>
    <t>江苏</t>
    <phoneticPr fontId="1" type="noConversion"/>
  </si>
  <si>
    <t>浙江</t>
    <phoneticPr fontId="1" type="noConversion"/>
  </si>
  <si>
    <t>华北</t>
    <phoneticPr fontId="1" type="noConversion"/>
  </si>
  <si>
    <t>华南</t>
    <phoneticPr fontId="1" type="noConversion"/>
  </si>
  <si>
    <t>华西</t>
    <phoneticPr fontId="1" type="noConversion"/>
  </si>
  <si>
    <t>甘肃</t>
    <phoneticPr fontId="1" type="noConversion"/>
  </si>
  <si>
    <t>宁夏</t>
    <phoneticPr fontId="1" type="noConversion"/>
  </si>
  <si>
    <t>陕西</t>
    <phoneticPr fontId="1" type="noConversion"/>
  </si>
  <si>
    <t>广东</t>
    <phoneticPr fontId="1" type="noConversion"/>
  </si>
  <si>
    <t>广西</t>
    <phoneticPr fontId="1" type="noConversion"/>
  </si>
  <si>
    <t>海南</t>
    <phoneticPr fontId="1" type="noConversion"/>
  </si>
  <si>
    <t>北京</t>
    <phoneticPr fontId="1" type="noConversion"/>
  </si>
  <si>
    <t>天津</t>
    <phoneticPr fontId="1" type="noConversion"/>
  </si>
  <si>
    <t>河北</t>
    <phoneticPr fontId="1" type="noConversion"/>
  </si>
  <si>
    <t>方法一</t>
    <phoneticPr fontId="1" type="noConversion"/>
  </si>
  <si>
    <t>方法二</t>
    <phoneticPr fontId="1" type="noConversion"/>
  </si>
  <si>
    <t>方法三</t>
    <phoneticPr fontId="1" type="noConversion"/>
  </si>
  <si>
    <t>方法四</t>
    <phoneticPr fontId="1" type="noConversion"/>
  </si>
  <si>
    <t>方法五</t>
    <phoneticPr fontId="1" type="noConversion"/>
  </si>
  <si>
    <t>出库日期</t>
    <phoneticPr fontId="1" type="noConversion"/>
  </si>
  <si>
    <t>商品</t>
    <phoneticPr fontId="1" type="noConversion"/>
  </si>
  <si>
    <t>最新单价</t>
    <phoneticPr fontId="1" type="noConversion"/>
  </si>
  <si>
    <t>矿泉水</t>
    <phoneticPr fontId="1" type="noConversion"/>
  </si>
  <si>
    <t>橙汁</t>
    <phoneticPr fontId="1" type="noConversion"/>
  </si>
  <si>
    <t>罐头</t>
    <phoneticPr fontId="1" type="noConversion"/>
  </si>
  <si>
    <t>巧克力</t>
    <phoneticPr fontId="1" type="noConversion"/>
  </si>
  <si>
    <t>牛奶</t>
    <phoneticPr fontId="1" type="noConversion"/>
  </si>
  <si>
    <t>商品价格变动表</t>
    <phoneticPr fontId="1" type="noConversion"/>
  </si>
  <si>
    <t>商品出库价目表</t>
    <phoneticPr fontId="1" type="noConversion"/>
  </si>
  <si>
    <t>杯子</t>
    <phoneticPr fontId="1" type="noConversion"/>
  </si>
  <si>
    <t>茶具</t>
    <phoneticPr fontId="1" type="noConversion"/>
  </si>
  <si>
    <t>拖鞋</t>
    <phoneticPr fontId="1" type="noConversion"/>
  </si>
  <si>
    <t>水果</t>
    <phoneticPr fontId="1" type="noConversion"/>
  </si>
  <si>
    <t>饮料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</si>
</sst>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);[Red]\(0\)"/>
    <numFmt numFmtId="177" formatCode="yyyy\-mm\-dd\ hh:mm:ss"/>
    <numFmt numFmtId="178" formatCode="yyyy\-mm\-dd"/>
    <numFmt numFmtId="179" formatCode="#,##0_ 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theme="1" tint="4.9989318521683403E-2"/>
      <name val="宋体"/>
      <family val="3"/>
      <charset val="134"/>
    </font>
    <font>
      <sz val="10"/>
      <color theme="1" tint="4.9989318521683403E-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41">
    <xf numFmtId="0" fontId="0" fillId="0" borderId="0" xfId="0"/>
    <xf numFmtId="0" fontId="5" fillId="2" borderId="1" xfId="0" applyFont="1" applyFill="1" applyBorder="1" applyAlignment="1" applyProtection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179" fontId="4" fillId="0" borderId="1" xfId="0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 applyProtection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8" fontId="4" fillId="0" borderId="0" xfId="0" applyNumberFormat="1" applyFont="1" applyAlignment="1">
      <alignment vertical="center"/>
    </xf>
    <xf numFmtId="0" fontId="4" fillId="0" borderId="1" xfId="0" quotePrefix="1" applyFont="1" applyBorder="1" applyAlignment="1">
      <alignment horizontal="center" vertical="center"/>
    </xf>
    <xf numFmtId="176" fontId="4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58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workbookViewId="0">
      <selection activeCell="D13" sqref="D13"/>
    </sheetView>
  </sheetViews>
  <sheetFormatPr defaultRowHeight="15" customHeight="1" x14ac:dyDescent="0.2"/>
  <cols>
    <col min="1" max="3" width="8.375" style="5" customWidth="1"/>
    <col min="4" max="4" width="24.25" style="5" customWidth="1"/>
    <col min="5" max="5" width="21.25" style="5" customWidth="1"/>
    <col min="6" max="6" width="10.25" style="5" customWidth="1"/>
    <col min="7" max="7" width="9" style="5"/>
    <col min="8" max="8" width="20.375" style="5" bestFit="1" customWidth="1"/>
    <col min="9" max="9" width="9" style="5"/>
    <col min="10" max="10" width="39.625" style="5" bestFit="1" customWidth="1"/>
    <col min="11" max="16384" width="9" style="5"/>
  </cols>
  <sheetData>
    <row r="1" spans="1:10" ht="15" customHeight="1" x14ac:dyDescent="0.2">
      <c r="A1" s="6" t="s">
        <v>21</v>
      </c>
      <c r="B1" s="6" t="s">
        <v>65</v>
      </c>
      <c r="C1" s="7"/>
      <c r="D1" s="22" t="s">
        <v>0</v>
      </c>
      <c r="E1" s="22" t="s">
        <v>1</v>
      </c>
      <c r="F1" s="8" t="s">
        <v>2</v>
      </c>
      <c r="H1" s="9" t="s">
        <v>51</v>
      </c>
      <c r="I1" s="9" t="s">
        <v>50</v>
      </c>
      <c r="J1" s="10" t="s">
        <v>52</v>
      </c>
    </row>
    <row r="2" spans="1:10" ht="15" customHeight="1" x14ac:dyDescent="0.2">
      <c r="A2" s="4" t="s">
        <v>3</v>
      </c>
      <c r="B2" s="4">
        <v>65</v>
      </c>
      <c r="C2" s="7"/>
      <c r="D2" s="11" t="s">
        <v>78</v>
      </c>
      <c r="E2" s="12" t="s">
        <v>7</v>
      </c>
      <c r="F2" s="4" t="str">
        <f>CHOOSE(2,A2,A3,A4,A5)</f>
        <v>lily</v>
      </c>
      <c r="H2" s="12" t="s">
        <v>64</v>
      </c>
      <c r="I2" s="12" t="s">
        <v>54</v>
      </c>
      <c r="J2" s="12" t="s">
        <v>60</v>
      </c>
    </row>
    <row r="3" spans="1:10" ht="15" customHeight="1" x14ac:dyDescent="0.2">
      <c r="A3" s="4" t="s">
        <v>4</v>
      </c>
      <c r="B3" s="4">
        <v>70</v>
      </c>
      <c r="C3" s="7"/>
      <c r="D3" s="11" t="s">
        <v>79</v>
      </c>
      <c r="E3" s="12" t="s">
        <v>8</v>
      </c>
      <c r="F3" s="4">
        <f>CHOOSE(3,B2,B3,B4,B5)</f>
        <v>59</v>
      </c>
      <c r="H3" s="12" t="s">
        <v>61</v>
      </c>
      <c r="I3" s="12" t="s">
        <v>62</v>
      </c>
      <c r="J3" s="12" t="s">
        <v>63</v>
      </c>
    </row>
    <row r="4" spans="1:10" ht="15" customHeight="1" x14ac:dyDescent="0.2">
      <c r="A4" s="4" t="s">
        <v>5</v>
      </c>
      <c r="B4" s="4">
        <v>59</v>
      </c>
      <c r="C4" s="7"/>
      <c r="D4" s="11" t="s">
        <v>80</v>
      </c>
      <c r="E4" s="12" t="s">
        <v>9</v>
      </c>
      <c r="F4" s="4">
        <f>SUM(CHOOSE(2,A2:A5,B2:B5))</f>
        <v>258</v>
      </c>
    </row>
    <row r="5" spans="1:10" ht="15" customHeight="1" x14ac:dyDescent="0.2">
      <c r="A5" s="4" t="s">
        <v>6</v>
      </c>
      <c r="B5" s="4">
        <v>64</v>
      </c>
      <c r="C5" s="7"/>
      <c r="D5" s="7"/>
      <c r="E5" s="13"/>
      <c r="F5" s="7"/>
    </row>
    <row r="6" spans="1:10" ht="15" customHeight="1" x14ac:dyDescent="0.2">
      <c r="A6" s="7"/>
      <c r="B6" s="7"/>
      <c r="C6" s="7"/>
      <c r="D6" s="7"/>
      <c r="E6" s="7"/>
      <c r="F6" s="7"/>
    </row>
    <row r="7" spans="1:10" ht="15" customHeight="1" x14ac:dyDescent="0.2">
      <c r="A7" s="7"/>
      <c r="B7" s="7"/>
      <c r="C7" s="7"/>
      <c r="D7" s="7"/>
      <c r="E7" s="7"/>
      <c r="F7" s="7"/>
    </row>
    <row r="8" spans="1:10" ht="15" customHeight="1" x14ac:dyDescent="0.2">
      <c r="A8" s="7"/>
      <c r="B8" s="7"/>
      <c r="C8" s="7"/>
      <c r="D8" s="7"/>
      <c r="E8" s="7"/>
      <c r="F8" s="7"/>
    </row>
    <row r="9" spans="1:10" ht="15" customHeight="1" x14ac:dyDescent="0.2">
      <c r="A9" s="7"/>
      <c r="B9" s="7"/>
      <c r="C9" s="7"/>
      <c r="D9" s="7"/>
      <c r="E9" s="7"/>
      <c r="F9" s="7"/>
    </row>
    <row r="10" spans="1:10" ht="15" customHeight="1" x14ac:dyDescent="0.2">
      <c r="A10" s="7"/>
      <c r="B10" s="7"/>
      <c r="C10" s="7"/>
      <c r="D10" s="7"/>
      <c r="E10" s="7"/>
      <c r="F10" s="7"/>
    </row>
    <row r="11" spans="1:10" ht="15" customHeight="1" x14ac:dyDescent="0.2">
      <c r="A11" s="7"/>
      <c r="B11" s="7"/>
      <c r="C11" s="7"/>
      <c r="D11" s="7"/>
      <c r="E11" s="7"/>
      <c r="F11" s="7"/>
    </row>
    <row r="12" spans="1:10" ht="15" customHeight="1" x14ac:dyDescent="0.2">
      <c r="A12" s="7"/>
      <c r="B12" s="7"/>
      <c r="C12" s="7"/>
      <c r="D12" s="7"/>
      <c r="E12" s="7"/>
      <c r="F12" s="7"/>
    </row>
    <row r="13" spans="1:10" ht="15" customHeight="1" x14ac:dyDescent="0.2">
      <c r="A13" s="7"/>
      <c r="B13" s="7"/>
      <c r="C13" s="7"/>
      <c r="D13" s="7"/>
      <c r="E13" s="7"/>
      <c r="F13" s="7"/>
    </row>
    <row r="14" spans="1:10" ht="15" customHeight="1" x14ac:dyDescent="0.2">
      <c r="A14" s="7"/>
      <c r="B14" s="7"/>
      <c r="C14" s="7"/>
      <c r="D14" s="7"/>
      <c r="E14" s="7"/>
      <c r="F14" s="7"/>
    </row>
    <row r="15" spans="1:10" ht="15" customHeight="1" x14ac:dyDescent="0.2">
      <c r="A15" s="7"/>
      <c r="B15" s="7"/>
      <c r="C15" s="7"/>
      <c r="D15" s="7"/>
      <c r="E15" s="7"/>
      <c r="F15" s="7"/>
    </row>
    <row r="16" spans="1:10" ht="15" customHeight="1" x14ac:dyDescent="0.2">
      <c r="A16" s="7"/>
      <c r="B16" s="7"/>
      <c r="C16" s="7"/>
      <c r="D16" s="7"/>
      <c r="E16" s="7"/>
      <c r="F16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selection activeCell="E11" sqref="E11"/>
    </sheetView>
  </sheetViews>
  <sheetFormatPr defaultRowHeight="15" customHeight="1" x14ac:dyDescent="0.2"/>
  <cols>
    <col min="1" max="3" width="7.75" style="5" customWidth="1"/>
    <col min="4" max="4" width="8.5" style="5" bestFit="1" customWidth="1"/>
    <col min="5" max="5" width="9.625" style="5" bestFit="1" customWidth="1"/>
    <col min="6" max="6" width="6.25" style="5" bestFit="1" customWidth="1"/>
    <col min="7" max="7" width="9.625" style="5" bestFit="1" customWidth="1"/>
    <col min="8" max="16384" width="9" style="5"/>
  </cols>
  <sheetData>
    <row r="1" spans="1:7" ht="15" customHeight="1" x14ac:dyDescent="0.2">
      <c r="A1" s="2" t="s">
        <v>70</v>
      </c>
      <c r="B1" s="2" t="s">
        <v>66</v>
      </c>
      <c r="C1" s="2" t="s">
        <v>21</v>
      </c>
      <c r="D1" s="2" t="s">
        <v>34</v>
      </c>
      <c r="E1" s="2" t="s">
        <v>67</v>
      </c>
      <c r="F1" s="2" t="s">
        <v>68</v>
      </c>
      <c r="G1" s="2" t="s">
        <v>69</v>
      </c>
    </row>
    <row r="2" spans="1:7" ht="15" customHeight="1" x14ac:dyDescent="0.2">
      <c r="A2" s="3">
        <v>1</v>
      </c>
      <c r="B2" s="3">
        <v>1</v>
      </c>
      <c r="C2" s="3" t="s">
        <v>10</v>
      </c>
      <c r="D2" s="3" t="s">
        <v>17</v>
      </c>
      <c r="E2" s="3">
        <v>77</v>
      </c>
      <c r="F2" s="3">
        <v>6</v>
      </c>
      <c r="G2" s="3">
        <v>12</v>
      </c>
    </row>
    <row r="3" spans="1:7" ht="15" customHeight="1" x14ac:dyDescent="0.2">
      <c r="A3" s="3">
        <v>2</v>
      </c>
      <c r="B3" s="3">
        <v>1</v>
      </c>
      <c r="C3" s="3" t="s">
        <v>11</v>
      </c>
      <c r="D3" s="3" t="s">
        <v>18</v>
      </c>
      <c r="E3" s="3">
        <v>57</v>
      </c>
      <c r="F3" s="3">
        <v>87</v>
      </c>
      <c r="G3" s="3">
        <v>80</v>
      </c>
    </row>
    <row r="4" spans="1:7" ht="15" customHeight="1" x14ac:dyDescent="0.2">
      <c r="A4" s="3">
        <v>3</v>
      </c>
      <c r="B4" s="3">
        <v>1</v>
      </c>
      <c r="C4" s="3" t="s">
        <v>12</v>
      </c>
      <c r="D4" s="3" t="s">
        <v>18</v>
      </c>
      <c r="E4" s="3">
        <v>92</v>
      </c>
      <c r="F4" s="3">
        <v>70</v>
      </c>
      <c r="G4" s="3">
        <v>84</v>
      </c>
    </row>
    <row r="5" spans="1:7" ht="15" customHeight="1" x14ac:dyDescent="0.2">
      <c r="A5" s="3">
        <v>5</v>
      </c>
      <c r="B5" s="3">
        <v>1</v>
      </c>
      <c r="C5" s="3" t="s">
        <v>13</v>
      </c>
      <c r="D5" s="3" t="s">
        <v>18</v>
      </c>
      <c r="E5" s="3">
        <v>46</v>
      </c>
      <c r="F5" s="3">
        <v>80</v>
      </c>
      <c r="G5" s="3">
        <v>39</v>
      </c>
    </row>
    <row r="6" spans="1:7" ht="15" customHeight="1" x14ac:dyDescent="0.2">
      <c r="A6" s="3">
        <v>6</v>
      </c>
      <c r="B6" s="3">
        <v>2</v>
      </c>
      <c r="C6" s="3" t="s">
        <v>14</v>
      </c>
      <c r="D6" s="3" t="s">
        <v>18</v>
      </c>
      <c r="E6" s="3">
        <v>71</v>
      </c>
      <c r="F6" s="3">
        <v>96</v>
      </c>
      <c r="G6" s="3">
        <v>64</v>
      </c>
    </row>
    <row r="7" spans="1:7" ht="15" customHeight="1" x14ac:dyDescent="0.2">
      <c r="A7" s="3">
        <v>7</v>
      </c>
      <c r="B7" s="3">
        <v>2</v>
      </c>
      <c r="C7" s="3" t="s">
        <v>15</v>
      </c>
      <c r="D7" s="3" t="s">
        <v>17</v>
      </c>
      <c r="E7" s="3">
        <v>62</v>
      </c>
      <c r="F7" s="3">
        <v>47</v>
      </c>
      <c r="G7" s="3">
        <v>67</v>
      </c>
    </row>
    <row r="8" spans="1:7" ht="15" customHeight="1" x14ac:dyDescent="0.2">
      <c r="A8" s="3">
        <v>8</v>
      </c>
      <c r="B8" s="3">
        <v>2</v>
      </c>
      <c r="C8" s="3" t="s">
        <v>16</v>
      </c>
      <c r="D8" s="3" t="s">
        <v>18</v>
      </c>
      <c r="E8" s="3">
        <v>68</v>
      </c>
      <c r="F8" s="3">
        <v>79</v>
      </c>
      <c r="G8" s="3">
        <v>3</v>
      </c>
    </row>
    <row r="10" spans="1:7" ht="15" customHeight="1" x14ac:dyDescent="0.2">
      <c r="D10" s="2" t="s">
        <v>21</v>
      </c>
      <c r="E10" s="2" t="s">
        <v>67</v>
      </c>
      <c r="F10" s="2" t="s">
        <v>68</v>
      </c>
      <c r="G10" s="2" t="s">
        <v>69</v>
      </c>
    </row>
    <row r="11" spans="1:7" ht="15" customHeight="1" x14ac:dyDescent="0.2">
      <c r="D11" s="3" t="s">
        <v>11</v>
      </c>
      <c r="E11" s="4">
        <f t="shared" ref="E11:G12" si="0">VLOOKUP($D11,$C$1:$G$8,COLUMN(C1),0)</f>
        <v>57</v>
      </c>
      <c r="F11" s="4">
        <f t="shared" si="0"/>
        <v>87</v>
      </c>
      <c r="G11" s="4">
        <f t="shared" si="0"/>
        <v>80</v>
      </c>
    </row>
    <row r="12" spans="1:7" ht="15" customHeight="1" x14ac:dyDescent="0.2">
      <c r="D12" s="3" t="s">
        <v>19</v>
      </c>
      <c r="E12" s="4">
        <f t="shared" si="0"/>
        <v>92</v>
      </c>
      <c r="F12" s="4">
        <f t="shared" si="0"/>
        <v>70</v>
      </c>
      <c r="G12" s="4">
        <f t="shared" si="0"/>
        <v>84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showGridLines="0" workbookViewId="0">
      <selection activeCell="G7" sqref="G7"/>
    </sheetView>
  </sheetViews>
  <sheetFormatPr defaultRowHeight="15" customHeight="1" x14ac:dyDescent="0.2"/>
  <cols>
    <col min="1" max="1" width="8" style="5" customWidth="1"/>
    <col min="2" max="2" width="6.875" style="5" customWidth="1"/>
    <col min="3" max="3" width="6.875" style="21" customWidth="1"/>
    <col min="4" max="8" width="6.875" style="5" customWidth="1"/>
    <col min="9" max="16384" width="9" style="5"/>
  </cols>
  <sheetData>
    <row r="1" spans="1:8" ht="15" customHeight="1" x14ac:dyDescent="0.2">
      <c r="A1" s="2" t="s">
        <v>20</v>
      </c>
      <c r="B1" s="3">
        <v>1001</v>
      </c>
      <c r="C1" s="3">
        <v>1002</v>
      </c>
      <c r="D1" s="3">
        <v>1003</v>
      </c>
      <c r="E1" s="3">
        <v>1004</v>
      </c>
      <c r="F1" s="3">
        <v>1005</v>
      </c>
      <c r="G1" s="3">
        <v>1006</v>
      </c>
      <c r="H1" s="3">
        <v>1007</v>
      </c>
    </row>
    <row r="2" spans="1:8" ht="15" customHeight="1" x14ac:dyDescent="0.2">
      <c r="A2" s="2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</row>
    <row r="3" spans="1:8" ht="15" customHeight="1" x14ac:dyDescent="0.2">
      <c r="A3" s="2" t="s">
        <v>29</v>
      </c>
      <c r="B3" s="3">
        <v>8223</v>
      </c>
      <c r="C3" s="3">
        <v>6041</v>
      </c>
      <c r="D3" s="3">
        <v>7873</v>
      </c>
      <c r="E3" s="3">
        <v>7219</v>
      </c>
      <c r="F3" s="3">
        <v>9264</v>
      </c>
      <c r="G3" s="3">
        <v>7800</v>
      </c>
      <c r="H3" s="3">
        <v>9640</v>
      </c>
    </row>
    <row r="4" spans="1:8" ht="15" customHeight="1" x14ac:dyDescent="0.2">
      <c r="A4" s="2" t="s">
        <v>30</v>
      </c>
      <c r="B4" s="3">
        <v>2439</v>
      </c>
      <c r="C4" s="3">
        <v>2431</v>
      </c>
      <c r="D4" s="3">
        <v>1861</v>
      </c>
      <c r="E4" s="3">
        <v>1213</v>
      </c>
      <c r="F4" s="3">
        <v>2966</v>
      </c>
      <c r="G4" s="3">
        <v>2031</v>
      </c>
      <c r="H4" s="3">
        <v>2522</v>
      </c>
    </row>
    <row r="6" spans="1:8" ht="15" customHeight="1" x14ac:dyDescent="0.2">
      <c r="F6" s="2" t="s">
        <v>21</v>
      </c>
      <c r="G6" s="2" t="s">
        <v>29</v>
      </c>
      <c r="H6" s="2" t="s">
        <v>30</v>
      </c>
    </row>
    <row r="7" spans="1:8" ht="15" customHeight="1" x14ac:dyDescent="0.2">
      <c r="F7" s="3" t="s">
        <v>23</v>
      </c>
      <c r="G7" s="4">
        <f>HLOOKUP($F7,$A$2:$H$4,COLUMN(B1),0)</f>
        <v>6041</v>
      </c>
      <c r="H7" s="4">
        <f t="shared" ref="H7:H8" si="0">HLOOKUP($F7,$A$2:$H$4,COLUMN(C1),0)</f>
        <v>2431</v>
      </c>
    </row>
    <row r="8" spans="1:8" ht="15" customHeight="1" x14ac:dyDescent="0.2">
      <c r="F8" s="3" t="s">
        <v>31</v>
      </c>
      <c r="G8" s="4">
        <f t="shared" ref="G8" si="1">HLOOKUP($F8,$A$2:$H$4,COLUMN(B2),0)</f>
        <v>9264</v>
      </c>
      <c r="H8" s="4">
        <f t="shared" si="0"/>
        <v>2966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"/>
  <sheetViews>
    <sheetView showGridLines="0" workbookViewId="0">
      <selection activeCell="B3" sqref="A2:C7"/>
    </sheetView>
  </sheetViews>
  <sheetFormatPr defaultRowHeight="15" customHeight="1" x14ac:dyDescent="0.2"/>
  <cols>
    <col min="1" max="1" width="9" style="5"/>
    <col min="2" max="2" width="10.625" style="5" customWidth="1"/>
    <col min="3" max="3" width="10" style="5" customWidth="1"/>
    <col min="4" max="4" width="7.875" style="5" customWidth="1"/>
    <col min="5" max="5" width="10.75" style="5" customWidth="1"/>
    <col min="6" max="6" width="9.875" style="5" customWidth="1"/>
    <col min="7" max="16384" width="9" style="5"/>
  </cols>
  <sheetData>
    <row r="1" spans="1:6" ht="15" customHeight="1" x14ac:dyDescent="0.2">
      <c r="A1" s="2" t="s">
        <v>34</v>
      </c>
      <c r="B1" s="2" t="s">
        <v>21</v>
      </c>
      <c r="C1" s="2" t="s">
        <v>32</v>
      </c>
      <c r="E1" s="2" t="s">
        <v>41</v>
      </c>
      <c r="F1" s="2" t="s">
        <v>42</v>
      </c>
    </row>
    <row r="2" spans="1:6" ht="15" customHeight="1" x14ac:dyDescent="0.2">
      <c r="A2" s="3" t="s">
        <v>17</v>
      </c>
      <c r="B2" s="3" t="s">
        <v>38</v>
      </c>
      <c r="C2" s="3">
        <v>75</v>
      </c>
      <c r="E2" s="3" t="s">
        <v>37</v>
      </c>
      <c r="F2" s="3" t="str">
        <f>LOOKUP(E2,$B$2:$B$7)</f>
        <v>沙和尚</v>
      </c>
    </row>
    <row r="3" spans="1:6" ht="15" customHeight="1" x14ac:dyDescent="0.2">
      <c r="A3" s="3" t="s">
        <v>17</v>
      </c>
      <c r="B3" s="3" t="s">
        <v>39</v>
      </c>
      <c r="C3" s="3">
        <v>20</v>
      </c>
      <c r="E3" s="3" t="s">
        <v>35</v>
      </c>
      <c r="F3" s="3" t="str">
        <f>LOOKUP(E3,$B$2:$B$7)</f>
        <v>孙悟空</v>
      </c>
    </row>
    <row r="4" spans="1:6" ht="15" customHeight="1" x14ac:dyDescent="0.2">
      <c r="A4" s="3" t="s">
        <v>18</v>
      </c>
      <c r="B4" s="3" t="s">
        <v>37</v>
      </c>
      <c r="C4" s="3">
        <v>80</v>
      </c>
    </row>
    <row r="5" spans="1:6" ht="15" customHeight="1" x14ac:dyDescent="0.2">
      <c r="A5" s="3" t="s">
        <v>18</v>
      </c>
      <c r="B5" s="3" t="s">
        <v>35</v>
      </c>
      <c r="C5" s="3">
        <v>100</v>
      </c>
    </row>
    <row r="6" spans="1:6" ht="15" customHeight="1" x14ac:dyDescent="0.2">
      <c r="A6" s="3" t="s">
        <v>18</v>
      </c>
      <c r="B6" s="3" t="s">
        <v>33</v>
      </c>
      <c r="C6" s="3">
        <v>0</v>
      </c>
    </row>
    <row r="7" spans="1:6" ht="15" customHeight="1" x14ac:dyDescent="0.2">
      <c r="A7" s="3" t="s">
        <v>18</v>
      </c>
      <c r="B7" s="3" t="s">
        <v>36</v>
      </c>
      <c r="C7" s="3">
        <v>90</v>
      </c>
    </row>
  </sheetData>
  <sortState ref="A2:C7">
    <sortCondition ref="B2:B7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7"/>
  <sheetViews>
    <sheetView showGridLines="0" workbookViewId="0">
      <selection activeCell="F2" sqref="F2"/>
    </sheetView>
  </sheetViews>
  <sheetFormatPr defaultRowHeight="15" customHeight="1" x14ac:dyDescent="0.2"/>
  <cols>
    <col min="1" max="4" width="9" style="5"/>
    <col min="5" max="5" width="11" style="5" bestFit="1" customWidth="1"/>
    <col min="6" max="6" width="9.75" style="5" customWidth="1"/>
    <col min="7" max="16384" width="9" style="5"/>
  </cols>
  <sheetData>
    <row r="1" spans="1:6" ht="15" customHeight="1" x14ac:dyDescent="0.2">
      <c r="A1" s="2" t="s">
        <v>34</v>
      </c>
      <c r="B1" s="2" t="s">
        <v>21</v>
      </c>
      <c r="C1" s="2" t="s">
        <v>32</v>
      </c>
      <c r="E1" s="2" t="s">
        <v>41</v>
      </c>
      <c r="F1" s="2" t="s">
        <v>42</v>
      </c>
    </row>
    <row r="2" spans="1:6" ht="15" customHeight="1" x14ac:dyDescent="0.2">
      <c r="A2" s="3" t="s">
        <v>17</v>
      </c>
      <c r="B2" s="3" t="s">
        <v>38</v>
      </c>
      <c r="C2" s="3">
        <v>75</v>
      </c>
      <c r="E2" s="3" t="s">
        <v>40</v>
      </c>
      <c r="F2" s="3" t="str">
        <f>LOOKUP(E2,B2:B7)</f>
        <v>嫦娥仙子</v>
      </c>
    </row>
    <row r="3" spans="1:6" ht="15" customHeight="1" x14ac:dyDescent="0.2">
      <c r="A3" s="3" t="s">
        <v>17</v>
      </c>
      <c r="B3" s="3" t="s">
        <v>39</v>
      </c>
      <c r="C3" s="3">
        <v>20</v>
      </c>
    </row>
    <row r="4" spans="1:6" ht="15" customHeight="1" x14ac:dyDescent="0.2">
      <c r="A4" s="3" t="s">
        <v>18</v>
      </c>
      <c r="B4" s="3" t="s">
        <v>37</v>
      </c>
      <c r="C4" s="3">
        <v>80</v>
      </c>
    </row>
    <row r="5" spans="1:6" ht="15" customHeight="1" x14ac:dyDescent="0.2">
      <c r="A5" s="3" t="s">
        <v>18</v>
      </c>
      <c r="B5" s="3" t="s">
        <v>35</v>
      </c>
      <c r="C5" s="3">
        <v>100</v>
      </c>
    </row>
    <row r="6" spans="1:6" ht="15" customHeight="1" x14ac:dyDescent="0.2">
      <c r="A6" s="3" t="s">
        <v>18</v>
      </c>
      <c r="B6" s="3" t="s">
        <v>33</v>
      </c>
      <c r="C6" s="3">
        <v>0</v>
      </c>
    </row>
    <row r="7" spans="1:6" ht="15" customHeight="1" x14ac:dyDescent="0.2">
      <c r="A7" s="3" t="s">
        <v>18</v>
      </c>
      <c r="B7" s="3" t="s">
        <v>36</v>
      </c>
      <c r="C7" s="3">
        <v>90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7"/>
  <sheetViews>
    <sheetView showGridLines="0" workbookViewId="0">
      <selection activeCell="G30" sqref="G30"/>
    </sheetView>
  </sheetViews>
  <sheetFormatPr defaultRowHeight="15" customHeight="1" x14ac:dyDescent="0.2"/>
  <cols>
    <col min="1" max="4" width="9" style="5"/>
    <col min="5" max="5" width="11" style="5" bestFit="1" customWidth="1"/>
    <col min="6" max="16384" width="9" style="5"/>
  </cols>
  <sheetData>
    <row r="1" spans="1:7" ht="15" customHeight="1" x14ac:dyDescent="0.2">
      <c r="A1" s="2" t="s">
        <v>34</v>
      </c>
      <c r="B1" s="2" t="s">
        <v>21</v>
      </c>
      <c r="C1" s="2" t="s">
        <v>32</v>
      </c>
      <c r="E1" s="2" t="s">
        <v>21</v>
      </c>
      <c r="F1" s="2" t="s">
        <v>32</v>
      </c>
      <c r="G1" s="2" t="s">
        <v>34</v>
      </c>
    </row>
    <row r="2" spans="1:7" ht="15" customHeight="1" x14ac:dyDescent="0.2">
      <c r="A2" s="3" t="s">
        <v>17</v>
      </c>
      <c r="B2" s="3" t="s">
        <v>38</v>
      </c>
      <c r="C2" s="3">
        <v>75</v>
      </c>
      <c r="E2" s="3" t="s">
        <v>38</v>
      </c>
      <c r="F2" s="3">
        <f>LOOKUP(E2,$B$2:$B$7,C$2:C$7)</f>
        <v>75</v>
      </c>
      <c r="G2" s="3" t="str">
        <f>LOOKUP(E2,$B$2:$B$7,A$2:A$7)</f>
        <v>F</v>
      </c>
    </row>
    <row r="3" spans="1:7" ht="15" customHeight="1" x14ac:dyDescent="0.2">
      <c r="A3" s="3" t="s">
        <v>17</v>
      </c>
      <c r="B3" s="3" t="s">
        <v>39</v>
      </c>
      <c r="C3" s="3">
        <v>20</v>
      </c>
      <c r="E3" s="3" t="s">
        <v>33</v>
      </c>
      <c r="F3" s="3">
        <f t="shared" ref="F3:F4" si="0">LOOKUP(E3,$B$2:$B$7,C$2:C$7)</f>
        <v>0</v>
      </c>
      <c r="G3" s="3" t="str">
        <f t="shared" ref="G3:G4" si="1">LOOKUP(E3,$B$2:$B$7,A$2:A$7)</f>
        <v>M</v>
      </c>
    </row>
    <row r="4" spans="1:7" ht="15" customHeight="1" x14ac:dyDescent="0.2">
      <c r="A4" s="3" t="s">
        <v>18</v>
      </c>
      <c r="B4" s="3" t="s">
        <v>37</v>
      </c>
      <c r="C4" s="3">
        <v>80</v>
      </c>
      <c r="E4" s="3" t="s">
        <v>40</v>
      </c>
      <c r="F4" s="3">
        <f t="shared" si="0"/>
        <v>20</v>
      </c>
      <c r="G4" s="3" t="str">
        <f t="shared" si="1"/>
        <v>F</v>
      </c>
    </row>
    <row r="5" spans="1:7" ht="15" customHeight="1" x14ac:dyDescent="0.2">
      <c r="A5" s="3" t="s">
        <v>18</v>
      </c>
      <c r="B5" s="3" t="s">
        <v>35</v>
      </c>
      <c r="C5" s="3">
        <v>100</v>
      </c>
    </row>
    <row r="6" spans="1:7" ht="15" customHeight="1" x14ac:dyDescent="0.2">
      <c r="A6" s="3" t="s">
        <v>18</v>
      </c>
      <c r="B6" s="3" t="s">
        <v>33</v>
      </c>
      <c r="C6" s="3">
        <v>0</v>
      </c>
    </row>
    <row r="7" spans="1:7" ht="15" customHeight="1" x14ac:dyDescent="0.2">
      <c r="A7" s="3" t="s">
        <v>18</v>
      </c>
      <c r="B7" s="3" t="s">
        <v>36</v>
      </c>
      <c r="C7" s="3">
        <v>90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showGridLines="0" workbookViewId="0">
      <selection activeCell="E10" sqref="E10"/>
    </sheetView>
  </sheetViews>
  <sheetFormatPr defaultRowHeight="15" customHeight="1" x14ac:dyDescent="0.2"/>
  <cols>
    <col min="1" max="3" width="8" style="5" customWidth="1"/>
    <col min="4" max="4" width="4.75" style="5" customWidth="1"/>
    <col min="5" max="5" width="19.375" style="13" customWidth="1"/>
    <col min="6" max="6" width="24.75" style="13" customWidth="1"/>
    <col min="7" max="7" width="7.125" style="5" customWidth="1"/>
    <col min="8" max="8" width="9" style="5"/>
    <col min="9" max="9" width="18.75" style="5" customWidth="1"/>
    <col min="10" max="10" width="9" style="5"/>
    <col min="11" max="11" width="37.5" style="5" bestFit="1" customWidth="1"/>
    <col min="12" max="16384" width="9" style="5"/>
  </cols>
  <sheetData>
    <row r="1" spans="1:13" ht="15" customHeight="1" x14ac:dyDescent="0.2">
      <c r="A1" s="6" t="s">
        <v>71</v>
      </c>
      <c r="B1" s="6" t="s">
        <v>120</v>
      </c>
      <c r="C1" s="6" t="s">
        <v>43</v>
      </c>
      <c r="E1" s="22" t="s">
        <v>0</v>
      </c>
      <c r="F1" s="22" t="s">
        <v>1</v>
      </c>
      <c r="G1" s="8" t="s">
        <v>2</v>
      </c>
      <c r="I1" s="9" t="s">
        <v>51</v>
      </c>
      <c r="J1" s="9" t="s">
        <v>50</v>
      </c>
      <c r="K1" s="10" t="s">
        <v>52</v>
      </c>
      <c r="L1" s="13"/>
      <c r="M1" s="13"/>
    </row>
    <row r="2" spans="1:13" ht="15" customHeight="1" x14ac:dyDescent="0.2">
      <c r="A2" s="4" t="s">
        <v>44</v>
      </c>
      <c r="B2" s="4">
        <v>99</v>
      </c>
      <c r="C2" s="4">
        <v>20</v>
      </c>
      <c r="E2" s="11" t="s">
        <v>81</v>
      </c>
      <c r="F2" s="12" t="s">
        <v>73</v>
      </c>
      <c r="G2" s="4">
        <f>MATCH("毛巾",A1:A6,0)</f>
        <v>4</v>
      </c>
      <c r="I2" s="12" t="s">
        <v>49</v>
      </c>
      <c r="J2" s="12" t="s">
        <v>54</v>
      </c>
      <c r="K2" s="12" t="s">
        <v>53</v>
      </c>
      <c r="L2" s="13"/>
      <c r="M2" s="13"/>
    </row>
    <row r="3" spans="1:13" ht="15" customHeight="1" x14ac:dyDescent="0.2">
      <c r="A3" s="4" t="s">
        <v>45</v>
      </c>
      <c r="B3" s="4">
        <v>19</v>
      </c>
      <c r="C3" s="4">
        <v>31</v>
      </c>
      <c r="E3" s="11" t="s">
        <v>82</v>
      </c>
      <c r="F3" s="12" t="s">
        <v>74</v>
      </c>
      <c r="G3" s="4">
        <f>MATCH(19,B1:B6,0)</f>
        <v>3</v>
      </c>
      <c r="I3" s="12" t="s">
        <v>58</v>
      </c>
      <c r="J3" s="12" t="s">
        <v>54</v>
      </c>
      <c r="K3" s="12" t="s">
        <v>55</v>
      </c>
      <c r="L3" s="13"/>
      <c r="M3" s="13"/>
    </row>
    <row r="4" spans="1:13" ht="15" customHeight="1" x14ac:dyDescent="0.2">
      <c r="A4" s="4" t="s">
        <v>46</v>
      </c>
      <c r="B4" s="4">
        <v>25</v>
      </c>
      <c r="C4" s="4">
        <v>46</v>
      </c>
      <c r="E4" s="11" t="s">
        <v>83</v>
      </c>
      <c r="F4" s="12" t="s">
        <v>75</v>
      </c>
      <c r="G4" s="4">
        <f>MATCH(20,C1:C6,0)</f>
        <v>2</v>
      </c>
      <c r="I4" s="12" t="s">
        <v>59</v>
      </c>
      <c r="J4" s="12" t="s">
        <v>56</v>
      </c>
      <c r="K4" s="12" t="s">
        <v>57</v>
      </c>
      <c r="L4" s="13"/>
      <c r="M4" s="13"/>
    </row>
    <row r="5" spans="1:13" ht="15" customHeight="1" x14ac:dyDescent="0.2">
      <c r="A5" s="4" t="s">
        <v>47</v>
      </c>
      <c r="B5" s="4">
        <v>68</v>
      </c>
      <c r="C5" s="4">
        <v>50</v>
      </c>
    </row>
    <row r="6" spans="1:13" ht="15" customHeight="1" x14ac:dyDescent="0.2">
      <c r="A6" s="4" t="s">
        <v>48</v>
      </c>
      <c r="B6" s="4">
        <v>28</v>
      </c>
      <c r="C6" s="4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showGridLines="0" workbookViewId="0">
      <selection activeCell="D1" sqref="D1:D1048576"/>
    </sheetView>
  </sheetViews>
  <sheetFormatPr defaultRowHeight="15" customHeight="1" x14ac:dyDescent="0.2"/>
  <cols>
    <col min="1" max="3" width="8.25" style="5" customWidth="1"/>
    <col min="4" max="4" width="4.75" style="5" customWidth="1"/>
    <col min="5" max="5" width="17.125" style="5" customWidth="1"/>
    <col min="6" max="6" width="24" style="5" customWidth="1"/>
    <col min="7" max="7" width="7.875" style="5" customWidth="1"/>
    <col min="8" max="16384" width="9" style="5"/>
  </cols>
  <sheetData>
    <row r="1" spans="1:7" ht="15" customHeight="1" x14ac:dyDescent="0.2">
      <c r="A1" s="6" t="s">
        <v>71</v>
      </c>
      <c r="B1" s="6" t="s">
        <v>120</v>
      </c>
      <c r="C1" s="6" t="s">
        <v>43</v>
      </c>
      <c r="E1" s="6" t="s">
        <v>0</v>
      </c>
      <c r="F1" s="6" t="s">
        <v>1</v>
      </c>
      <c r="G1" s="8" t="s">
        <v>2</v>
      </c>
    </row>
    <row r="2" spans="1:7" ht="15" customHeight="1" x14ac:dyDescent="0.2">
      <c r="A2" s="4" t="s">
        <v>44</v>
      </c>
      <c r="B2" s="4">
        <v>99</v>
      </c>
      <c r="C2" s="4">
        <v>20</v>
      </c>
      <c r="E2" s="20" t="s">
        <v>84</v>
      </c>
      <c r="F2" s="4" t="s">
        <v>72</v>
      </c>
      <c r="G2" s="4">
        <f>MATCH(35,C1:C6,1)</f>
        <v>3</v>
      </c>
    </row>
    <row r="3" spans="1:7" ht="15" customHeight="1" x14ac:dyDescent="0.2">
      <c r="A3" s="4" t="s">
        <v>45</v>
      </c>
      <c r="B3" s="4">
        <v>19</v>
      </c>
      <c r="C3" s="4">
        <v>31</v>
      </c>
    </row>
    <row r="4" spans="1:7" ht="15" customHeight="1" x14ac:dyDescent="0.2">
      <c r="A4" s="4" t="s">
        <v>46</v>
      </c>
      <c r="B4" s="4">
        <v>25</v>
      </c>
      <c r="C4" s="4">
        <v>46</v>
      </c>
    </row>
    <row r="5" spans="1:7" ht="15" customHeight="1" x14ac:dyDescent="0.2">
      <c r="A5" s="4" t="s">
        <v>47</v>
      </c>
      <c r="B5" s="4">
        <v>68</v>
      </c>
      <c r="C5" s="4">
        <v>50</v>
      </c>
    </row>
    <row r="6" spans="1:7" ht="15" customHeight="1" x14ac:dyDescent="0.2">
      <c r="A6" s="4" t="s">
        <v>48</v>
      </c>
      <c r="B6" s="4">
        <v>28</v>
      </c>
      <c r="C6" s="4">
        <v>62</v>
      </c>
    </row>
  </sheetData>
  <sortState ref="A2:C6">
    <sortCondition ref="C2:C6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showGridLines="0" workbookViewId="0">
      <selection activeCell="E18" sqref="E18"/>
    </sheetView>
  </sheetViews>
  <sheetFormatPr defaultRowHeight="15" customHeight="1" x14ac:dyDescent="0.2"/>
  <cols>
    <col min="1" max="1" width="11.625" style="19" bestFit="1" customWidth="1"/>
    <col min="2" max="4" width="9.75" style="5" customWidth="1"/>
    <col min="5" max="16384" width="9" style="5"/>
  </cols>
  <sheetData>
    <row r="1" spans="1:4" ht="15" customHeight="1" x14ac:dyDescent="0.2">
      <c r="A1" s="17" t="s">
        <v>76</v>
      </c>
      <c r="B1" s="6" t="s">
        <v>71</v>
      </c>
      <c r="C1" s="6" t="s">
        <v>43</v>
      </c>
      <c r="D1" s="6" t="s">
        <v>77</v>
      </c>
    </row>
    <row r="2" spans="1:4" ht="15" customHeight="1" x14ac:dyDescent="0.2">
      <c r="A2" s="18">
        <v>43110</v>
      </c>
      <c r="B2" s="4" t="s">
        <v>154</v>
      </c>
      <c r="C2" s="4">
        <v>33</v>
      </c>
      <c r="D2" s="4">
        <f>MATCH(MONTH(A2),{1,4,7,10},1)</f>
        <v>1</v>
      </c>
    </row>
    <row r="3" spans="1:4" ht="15" customHeight="1" x14ac:dyDescent="0.2">
      <c r="A3" s="18">
        <f>A2+70</f>
        <v>43180</v>
      </c>
      <c r="B3" s="4" t="s">
        <v>155</v>
      </c>
      <c r="C3" s="4">
        <v>25</v>
      </c>
      <c r="D3" s="4">
        <f>MATCH(MONTH(A3),{1,4,7,10},1)</f>
        <v>1</v>
      </c>
    </row>
    <row r="4" spans="1:4" ht="15" customHeight="1" x14ac:dyDescent="0.2">
      <c r="A4" s="18">
        <f t="shared" ref="A4:A6" si="0">A3+70</f>
        <v>43250</v>
      </c>
      <c r="B4" s="4" t="s">
        <v>156</v>
      </c>
      <c r="C4" s="4">
        <v>36</v>
      </c>
      <c r="D4" s="4">
        <f>MATCH(MONTH(A4),{1,4,7,10},1)</f>
        <v>2</v>
      </c>
    </row>
    <row r="5" spans="1:4" ht="15" customHeight="1" x14ac:dyDescent="0.2">
      <c r="A5" s="18">
        <f t="shared" si="0"/>
        <v>43320</v>
      </c>
      <c r="B5" s="4" t="s">
        <v>157</v>
      </c>
      <c r="C5" s="4">
        <v>47</v>
      </c>
      <c r="D5" s="4">
        <f>MATCH(MONTH(A5),{1,4,7,10},1)</f>
        <v>3</v>
      </c>
    </row>
    <row r="6" spans="1:4" ht="15" customHeight="1" x14ac:dyDescent="0.2">
      <c r="A6" s="18">
        <f t="shared" si="0"/>
        <v>43390</v>
      </c>
      <c r="B6" s="4" t="s">
        <v>158</v>
      </c>
      <c r="C6" s="4">
        <v>35</v>
      </c>
      <c r="D6" s="4">
        <f>MATCH(MONTH(A6),{1,4,7,10},1)</f>
        <v>4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workbookViewId="0">
      <selection activeCell="G2" sqref="G2"/>
    </sheetView>
  </sheetViews>
  <sheetFormatPr defaultRowHeight="15" customHeight="1" x14ac:dyDescent="0.2"/>
  <cols>
    <col min="1" max="3" width="5.75" style="7" customWidth="1"/>
    <col min="4" max="4" width="4.75" style="5" customWidth="1"/>
    <col min="5" max="5" width="15.875" style="7" customWidth="1"/>
    <col min="6" max="6" width="36.125" style="7" customWidth="1"/>
    <col min="7" max="7" width="7.125" style="7" customWidth="1"/>
    <col min="8" max="8" width="9" style="7"/>
    <col min="9" max="16384" width="9" style="5"/>
  </cols>
  <sheetData>
    <row r="1" spans="1:7" ht="15" customHeight="1" x14ac:dyDescent="0.2">
      <c r="A1" s="6" t="s">
        <v>85</v>
      </c>
      <c r="B1" s="6" t="s">
        <v>99</v>
      </c>
      <c r="C1" s="6" t="s">
        <v>95</v>
      </c>
      <c r="E1" s="6" t="s">
        <v>0</v>
      </c>
      <c r="F1" s="6" t="s">
        <v>1</v>
      </c>
      <c r="G1" s="8" t="s">
        <v>2</v>
      </c>
    </row>
    <row r="2" spans="1:7" ht="15" customHeight="1" x14ac:dyDescent="0.2">
      <c r="A2" s="4" t="s">
        <v>86</v>
      </c>
      <c r="B2" s="4">
        <v>145</v>
      </c>
      <c r="C2" s="4">
        <v>725</v>
      </c>
      <c r="E2" s="11" t="s">
        <v>94</v>
      </c>
      <c r="F2" s="12" t="s">
        <v>92</v>
      </c>
      <c r="G2" s="4" t="str">
        <f>INDEX(A1:A7,3)</f>
        <v>2月</v>
      </c>
    </row>
    <row r="3" spans="1:7" ht="15" customHeight="1" x14ac:dyDescent="0.2">
      <c r="A3" s="4" t="s">
        <v>87</v>
      </c>
      <c r="B3" s="4">
        <v>148</v>
      </c>
      <c r="C3" s="4">
        <v>607</v>
      </c>
      <c r="E3" s="11" t="s">
        <v>96</v>
      </c>
      <c r="F3" s="12" t="s">
        <v>93</v>
      </c>
      <c r="G3" s="4" t="str">
        <f>INDEX(A1:C1,3)</f>
        <v>业绩</v>
      </c>
    </row>
    <row r="4" spans="1:7" ht="15" customHeight="1" x14ac:dyDescent="0.2">
      <c r="A4" s="4" t="s">
        <v>88</v>
      </c>
      <c r="B4" s="4">
        <v>178</v>
      </c>
      <c r="C4" s="4">
        <v>890</v>
      </c>
      <c r="E4" s="11" t="s">
        <v>98</v>
      </c>
      <c r="F4" s="12" t="s">
        <v>97</v>
      </c>
      <c r="G4" s="4">
        <f>INDEX(A1:C7,3,3)</f>
        <v>607</v>
      </c>
    </row>
    <row r="5" spans="1:7" ht="15" customHeight="1" x14ac:dyDescent="0.2">
      <c r="A5" s="4" t="s">
        <v>89</v>
      </c>
      <c r="B5" s="4">
        <v>189</v>
      </c>
      <c r="C5" s="4">
        <v>888</v>
      </c>
      <c r="F5" s="13"/>
    </row>
    <row r="6" spans="1:7" ht="15" customHeight="1" x14ac:dyDescent="0.2">
      <c r="A6" s="4" t="s">
        <v>90</v>
      </c>
      <c r="B6" s="4">
        <v>118</v>
      </c>
      <c r="C6" s="4">
        <v>472</v>
      </c>
      <c r="F6" s="13"/>
    </row>
    <row r="7" spans="1:7" ht="15" customHeight="1" x14ac:dyDescent="0.2">
      <c r="A7" s="4" t="s">
        <v>91</v>
      </c>
      <c r="B7" s="4">
        <v>160</v>
      </c>
      <c r="C7" s="4">
        <v>768</v>
      </c>
      <c r="F7" s="13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G12" sqref="G12"/>
    </sheetView>
  </sheetViews>
  <sheetFormatPr defaultRowHeight="15" customHeight="1" x14ac:dyDescent="0.2"/>
  <cols>
    <col min="1" max="16384" width="9" style="5"/>
  </cols>
  <sheetData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showGridLines="0" workbookViewId="0">
      <selection activeCell="G2" sqref="G2"/>
    </sheetView>
  </sheetViews>
  <sheetFormatPr defaultRowHeight="15" customHeight="1" x14ac:dyDescent="0.2"/>
  <cols>
    <col min="1" max="7" width="7.25" style="5" customWidth="1"/>
    <col min="8" max="8" width="7.5" style="5" bestFit="1" customWidth="1"/>
    <col min="9" max="9" width="7.75" style="5" bestFit="1" customWidth="1"/>
    <col min="10" max="16384" width="9" style="5"/>
  </cols>
  <sheetData>
    <row r="1" spans="1:7" ht="1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F1" s="1" t="s">
        <v>100</v>
      </c>
      <c r="G1" s="1" t="s">
        <v>102</v>
      </c>
    </row>
    <row r="2" spans="1:7" ht="15" customHeight="1" x14ac:dyDescent="0.2">
      <c r="A2" s="14" t="s">
        <v>104</v>
      </c>
      <c r="B2" s="16">
        <v>320111</v>
      </c>
      <c r="C2" s="16">
        <v>378784</v>
      </c>
      <c r="D2" s="16">
        <v>304092</v>
      </c>
      <c r="F2" s="14" t="s">
        <v>105</v>
      </c>
      <c r="G2" s="4">
        <f ca="1">OFFSET(A1,2,2,1,1)</f>
        <v>141556</v>
      </c>
    </row>
    <row r="3" spans="1:7" ht="15" customHeight="1" x14ac:dyDescent="0.2">
      <c r="A3" s="14" t="s">
        <v>105</v>
      </c>
      <c r="B3" s="16">
        <v>200391</v>
      </c>
      <c r="C3" s="16">
        <v>141556</v>
      </c>
      <c r="D3" s="16">
        <v>127855</v>
      </c>
    </row>
    <row r="4" spans="1:7" ht="15" customHeight="1" x14ac:dyDescent="0.2">
      <c r="A4" s="14" t="s">
        <v>106</v>
      </c>
      <c r="B4" s="16">
        <v>248732</v>
      </c>
      <c r="C4" s="16">
        <v>375076</v>
      </c>
      <c r="D4" s="16">
        <v>360050</v>
      </c>
    </row>
    <row r="5" spans="1:7" ht="15" customHeight="1" x14ac:dyDescent="0.2">
      <c r="A5" s="14" t="s">
        <v>107</v>
      </c>
      <c r="B5" s="16">
        <v>110090</v>
      </c>
      <c r="C5" s="16">
        <v>293493</v>
      </c>
      <c r="D5" s="16">
        <v>173327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showGridLines="0" workbookViewId="0">
      <selection activeCell="R29" sqref="R29"/>
    </sheetView>
  </sheetViews>
  <sheetFormatPr defaultRowHeight="15" customHeight="1" x14ac:dyDescent="0.2"/>
  <cols>
    <col min="1" max="1" width="6.125" style="5" customWidth="1"/>
    <col min="2" max="4" width="8.5" style="5" bestFit="1" customWidth="1"/>
    <col min="5" max="5" width="4.75" style="5" customWidth="1"/>
    <col min="6" max="6" width="6.5" style="5" customWidth="1"/>
    <col min="7" max="9" width="8.5" style="5" bestFit="1" customWidth="1"/>
    <col min="10" max="16384" width="9" style="5"/>
  </cols>
  <sheetData>
    <row r="1" spans="1:9" ht="1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F1" s="1" t="s">
        <v>100</v>
      </c>
      <c r="G1" s="1" t="s">
        <v>101</v>
      </c>
      <c r="H1" s="1" t="s">
        <v>102</v>
      </c>
      <c r="I1" s="1" t="s">
        <v>103</v>
      </c>
    </row>
    <row r="2" spans="1:9" ht="15" customHeight="1" x14ac:dyDescent="0.2">
      <c r="A2" s="14" t="s">
        <v>104</v>
      </c>
      <c r="B2" s="15">
        <v>320111</v>
      </c>
      <c r="C2" s="15">
        <v>378784</v>
      </c>
      <c r="D2" s="15">
        <v>304092</v>
      </c>
      <c r="F2" s="14" t="s">
        <v>106</v>
      </c>
      <c r="G2" s="15">
        <f t="array" aca="1" ref="G2:I2" ca="1">OFFSET(A1,3,1,1,3)</f>
        <v>248732</v>
      </c>
      <c r="H2" s="15">
        <f ca="1"/>
        <v>375076</v>
      </c>
      <c r="I2" s="15">
        <f ca="1"/>
        <v>360050</v>
      </c>
    </row>
    <row r="3" spans="1:9" ht="15" customHeight="1" x14ac:dyDescent="0.2">
      <c r="A3" s="14" t="s">
        <v>105</v>
      </c>
      <c r="B3" s="15">
        <v>200391</v>
      </c>
      <c r="C3" s="15">
        <v>141556</v>
      </c>
      <c r="D3" s="15">
        <v>127855</v>
      </c>
    </row>
    <row r="4" spans="1:9" ht="15" customHeight="1" x14ac:dyDescent="0.2">
      <c r="A4" s="14" t="s">
        <v>106</v>
      </c>
      <c r="B4" s="15">
        <v>248732</v>
      </c>
      <c r="C4" s="15">
        <v>375076</v>
      </c>
      <c r="D4" s="15">
        <v>360050</v>
      </c>
    </row>
    <row r="5" spans="1:9" ht="15" customHeight="1" x14ac:dyDescent="0.2">
      <c r="A5" s="14" t="s">
        <v>107</v>
      </c>
      <c r="B5" s="15">
        <v>110090</v>
      </c>
      <c r="C5" s="15">
        <v>293493</v>
      </c>
      <c r="D5" s="15">
        <v>173327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showGridLines="0" workbookViewId="0">
      <selection activeCell="D15" sqref="D15"/>
    </sheetView>
  </sheetViews>
  <sheetFormatPr defaultRowHeight="15" customHeight="1" x14ac:dyDescent="0.2"/>
  <cols>
    <col min="1" max="2" width="9.5" style="7" customWidth="1"/>
    <col min="3" max="3" width="5.25" style="7" customWidth="1"/>
    <col min="4" max="4" width="21.875" style="7" customWidth="1"/>
    <col min="5" max="5" width="16.375" style="7" customWidth="1"/>
    <col min="6" max="6" width="7.125" style="7" customWidth="1"/>
    <col min="7" max="16384" width="9" style="7"/>
  </cols>
  <sheetData>
    <row r="1" spans="1:6" ht="15" customHeight="1" x14ac:dyDescent="0.2">
      <c r="A1" s="6" t="s">
        <v>113</v>
      </c>
      <c r="B1" s="6" t="s">
        <v>108</v>
      </c>
      <c r="D1" s="6" t="s">
        <v>0</v>
      </c>
      <c r="E1" s="6" t="s">
        <v>1</v>
      </c>
      <c r="F1" s="8" t="s">
        <v>2</v>
      </c>
    </row>
    <row r="2" spans="1:6" ht="15" customHeight="1" x14ac:dyDescent="0.2">
      <c r="A2" s="4" t="s">
        <v>109</v>
      </c>
      <c r="B2" s="4">
        <v>58</v>
      </c>
      <c r="D2" s="11" t="s">
        <v>117</v>
      </c>
      <c r="E2" s="4" t="s">
        <v>114</v>
      </c>
      <c r="F2" s="4">
        <f ca="1">INDIRECT("B2",TRUE)</f>
        <v>58</v>
      </c>
    </row>
    <row r="3" spans="1:6" ht="15" customHeight="1" x14ac:dyDescent="0.2">
      <c r="A3" s="4" t="s">
        <v>110</v>
      </c>
      <c r="B3" s="4">
        <v>79</v>
      </c>
      <c r="D3" s="11" t="s">
        <v>118</v>
      </c>
      <c r="E3" s="4" t="s">
        <v>115</v>
      </c>
      <c r="F3" s="4">
        <f ca="1">INDIRECT("R3C2",0)</f>
        <v>79</v>
      </c>
    </row>
    <row r="4" spans="1:6" ht="15" customHeight="1" x14ac:dyDescent="0.2">
      <c r="A4" s="4" t="s">
        <v>111</v>
      </c>
      <c r="B4" s="4">
        <v>49</v>
      </c>
      <c r="D4" s="11" t="s">
        <v>119</v>
      </c>
      <c r="E4" s="4" t="s">
        <v>116</v>
      </c>
      <c r="F4" s="4">
        <f ca="1">INDIRECT("B"&amp;ROW(B4),1)</f>
        <v>49</v>
      </c>
    </row>
    <row r="5" spans="1:6" ht="15" customHeight="1" x14ac:dyDescent="0.2">
      <c r="A5" s="4" t="s">
        <v>112</v>
      </c>
      <c r="B5" s="4">
        <v>101</v>
      </c>
      <c r="D5" s="13"/>
    </row>
    <row r="6" spans="1:6" ht="15" customHeight="1" x14ac:dyDescent="0.2">
      <c r="D6" s="13"/>
    </row>
    <row r="7" spans="1:6" ht="15" customHeight="1" x14ac:dyDescent="0.2">
      <c r="D7" s="13"/>
    </row>
    <row r="8" spans="1:6" ht="15" customHeight="1" x14ac:dyDescent="0.2">
      <c r="D8" s="13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workbookViewId="0">
      <selection activeCell="G13" sqref="G13"/>
    </sheetView>
  </sheetViews>
  <sheetFormatPr defaultRowHeight="15" customHeight="1" x14ac:dyDescent="0.2"/>
  <cols>
    <col min="1" max="5" width="9" style="7"/>
    <col min="6" max="10" width="7.75" style="7" customWidth="1"/>
    <col min="11" max="16384" width="9" style="7"/>
  </cols>
  <sheetData>
    <row r="1" spans="1:10" ht="15" customHeight="1" x14ac:dyDescent="0.2">
      <c r="A1" s="6" t="s">
        <v>121</v>
      </c>
      <c r="B1" s="6" t="s">
        <v>122</v>
      </c>
      <c r="C1" s="6" t="s">
        <v>121</v>
      </c>
      <c r="E1" s="31" t="s">
        <v>122</v>
      </c>
      <c r="F1" s="31" t="s">
        <v>121</v>
      </c>
      <c r="G1" s="31"/>
      <c r="H1" s="31"/>
      <c r="I1" s="31"/>
      <c r="J1" s="31"/>
    </row>
    <row r="2" spans="1:10" ht="15" customHeight="1" x14ac:dyDescent="0.2">
      <c r="A2" s="4" t="s">
        <v>127</v>
      </c>
      <c r="B2" s="4" t="s">
        <v>136</v>
      </c>
      <c r="C2" s="4" t="s">
        <v>127</v>
      </c>
      <c r="E2" s="31"/>
      <c r="F2" s="6" t="s">
        <v>139</v>
      </c>
      <c r="G2" s="6" t="s">
        <v>140</v>
      </c>
      <c r="H2" s="6" t="s">
        <v>141</v>
      </c>
      <c r="I2" s="6" t="s">
        <v>142</v>
      </c>
      <c r="J2" s="6" t="s">
        <v>143</v>
      </c>
    </row>
    <row r="3" spans="1:10" ht="15" customHeight="1" x14ac:dyDescent="0.2">
      <c r="A3" s="4" t="s">
        <v>129</v>
      </c>
      <c r="B3" s="4" t="s">
        <v>130</v>
      </c>
      <c r="C3" s="4" t="s">
        <v>129</v>
      </c>
      <c r="E3" s="4" t="s">
        <v>126</v>
      </c>
      <c r="F3" s="4" t="str">
        <f>VLOOKUP(E3,B:C,2,0)</f>
        <v>华东</v>
      </c>
      <c r="G3" s="4" t="str">
        <f t="array" ref="G3">VLOOKUP(E3,IF({1,0},$B$2:$B$13,$A$2:$A$13),2,0)</f>
        <v>华东</v>
      </c>
      <c r="H3" s="4" t="str">
        <f>INDEX($A$1:$B$13,MATCH(E3,$B$1:$B$13,0),1)</f>
        <v>华东</v>
      </c>
      <c r="I3" s="4" t="str">
        <f>LOOKUP(E3,$B$2:$B$13,$A$2:$A$13)</f>
        <v>华东</v>
      </c>
      <c r="J3" s="4" t="str">
        <f>LOOKUP(1,1/(E3=$B$2:$B$13),$A$2:$A$13)</f>
        <v>华东</v>
      </c>
    </row>
    <row r="4" spans="1:10" ht="15" customHeight="1" x14ac:dyDescent="0.2">
      <c r="A4" s="4" t="s">
        <v>128</v>
      </c>
      <c r="B4" s="4" t="s">
        <v>133</v>
      </c>
      <c r="C4" s="4" t="s">
        <v>128</v>
      </c>
      <c r="E4" s="4" t="s">
        <v>132</v>
      </c>
      <c r="F4" s="4" t="str">
        <f t="shared" ref="F4:F6" si="0">VLOOKUP(E4,B:C,2,0)</f>
        <v>华西</v>
      </c>
      <c r="G4" s="4" t="str">
        <f t="array" ref="G4">VLOOKUP(E4,IF({1,0},$B$2:$B$13,$A$2:$A$13),2,0)</f>
        <v>华西</v>
      </c>
      <c r="H4" s="4" t="str">
        <f t="shared" ref="H4:H6" si="1">INDEX($A$1:$B$13,MATCH(E4,$B$1:$B$13,0),1)</f>
        <v>华西</v>
      </c>
      <c r="I4" s="4" t="str">
        <f t="shared" ref="I4:I6" si="2">LOOKUP(E4,$B$2:$B$13,$A$2:$A$13)</f>
        <v>华西</v>
      </c>
      <c r="J4" s="4" t="str">
        <f t="shared" ref="J4:J6" si="3">LOOKUP(1,1/(E4=$B$2:$B$13),$A$2:$A$13)</f>
        <v>华西</v>
      </c>
    </row>
    <row r="5" spans="1:10" ht="15" customHeight="1" x14ac:dyDescent="0.2">
      <c r="A5" s="4" t="s">
        <v>128</v>
      </c>
      <c r="B5" s="4" t="s">
        <v>134</v>
      </c>
      <c r="C5" s="4" t="s">
        <v>128</v>
      </c>
      <c r="E5" s="4" t="s">
        <v>134</v>
      </c>
      <c r="F5" s="4" t="str">
        <f t="shared" si="0"/>
        <v>华南</v>
      </c>
      <c r="G5" s="4" t="str">
        <f t="array" ref="G5">VLOOKUP(E5,IF({1,0},$B$2:$B$13,$A$2:$A$13),2,0)</f>
        <v>华南</v>
      </c>
      <c r="H5" s="4" t="str">
        <f t="shared" si="1"/>
        <v>华南</v>
      </c>
      <c r="I5" s="4" t="str">
        <f t="shared" si="2"/>
        <v>华南</v>
      </c>
      <c r="J5" s="4" t="str">
        <f t="shared" si="3"/>
        <v>华南</v>
      </c>
    </row>
    <row r="6" spans="1:10" ht="15" customHeight="1" x14ac:dyDescent="0.2">
      <c r="A6" s="4" t="s">
        <v>128</v>
      </c>
      <c r="B6" s="4" t="s">
        <v>135</v>
      </c>
      <c r="C6" s="4" t="s">
        <v>128</v>
      </c>
      <c r="E6" s="4" t="s">
        <v>136</v>
      </c>
      <c r="F6" s="4" t="str">
        <f t="shared" si="0"/>
        <v>华北</v>
      </c>
      <c r="G6" s="4" t="str">
        <f t="array" ref="G6">VLOOKUP(E6,IF({1,0},$B$2:$B$13,$A$2:$A$13),2,0)</f>
        <v>华北</v>
      </c>
      <c r="H6" s="4" t="str">
        <f t="shared" si="1"/>
        <v>华北</v>
      </c>
      <c r="I6" s="4" t="str">
        <f t="shared" si="2"/>
        <v>华北</v>
      </c>
      <c r="J6" s="4" t="str">
        <f t="shared" si="3"/>
        <v>华北</v>
      </c>
    </row>
    <row r="7" spans="1:10" ht="15" customHeight="1" x14ac:dyDescent="0.2">
      <c r="A7" s="4" t="s">
        <v>127</v>
      </c>
      <c r="B7" s="4" t="s">
        <v>138</v>
      </c>
      <c r="C7" s="4" t="s">
        <v>127</v>
      </c>
    </row>
    <row r="8" spans="1:10" ht="15" customHeight="1" x14ac:dyDescent="0.2">
      <c r="A8" s="4" t="s">
        <v>123</v>
      </c>
      <c r="B8" s="4" t="s">
        <v>125</v>
      </c>
      <c r="C8" s="4" t="s">
        <v>123</v>
      </c>
    </row>
    <row r="9" spans="1:10" ht="15" customHeight="1" x14ac:dyDescent="0.2">
      <c r="A9" s="4" t="s">
        <v>129</v>
      </c>
      <c r="B9" s="4" t="s">
        <v>131</v>
      </c>
      <c r="C9" s="4" t="s">
        <v>129</v>
      </c>
    </row>
    <row r="10" spans="1:10" ht="15" customHeight="1" x14ac:dyDescent="0.2">
      <c r="A10" s="4" t="s">
        <v>129</v>
      </c>
      <c r="B10" s="4" t="s">
        <v>132</v>
      </c>
      <c r="C10" s="4" t="s">
        <v>129</v>
      </c>
    </row>
    <row r="11" spans="1:10" ht="15" customHeight="1" x14ac:dyDescent="0.2">
      <c r="A11" s="4" t="s">
        <v>123</v>
      </c>
      <c r="B11" s="4" t="s">
        <v>124</v>
      </c>
      <c r="C11" s="4" t="s">
        <v>123</v>
      </c>
    </row>
    <row r="12" spans="1:10" ht="15" customHeight="1" x14ac:dyDescent="0.2">
      <c r="A12" s="4" t="s">
        <v>127</v>
      </c>
      <c r="B12" s="4" t="s">
        <v>137</v>
      </c>
      <c r="C12" s="4" t="s">
        <v>127</v>
      </c>
    </row>
    <row r="13" spans="1:10" ht="15" customHeight="1" x14ac:dyDescent="0.2">
      <c r="A13" s="4" t="s">
        <v>123</v>
      </c>
      <c r="B13" s="4" t="s">
        <v>126</v>
      </c>
      <c r="C13" s="4" t="s">
        <v>123</v>
      </c>
    </row>
  </sheetData>
  <sortState ref="A2:C13">
    <sortCondition ref="B2:B13"/>
  </sortState>
  <mergeCells count="2">
    <mergeCell ref="E1:E2"/>
    <mergeCell ref="F1:J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selection activeCell="E5" sqref="E5"/>
    </sheetView>
  </sheetViews>
  <sheetFormatPr defaultRowHeight="15" customHeight="1" x14ac:dyDescent="0.2"/>
  <cols>
    <col min="1" max="1" width="8.625" style="7" customWidth="1"/>
    <col min="2" max="6" width="8.125" style="7" customWidth="1"/>
    <col min="7" max="7" width="6" style="7" customWidth="1"/>
    <col min="8" max="11" width="8.625" style="7" customWidth="1"/>
    <col min="12" max="16384" width="9" style="5"/>
  </cols>
  <sheetData>
    <row r="1" spans="1:11" ht="15" customHeight="1" x14ac:dyDescent="0.2">
      <c r="A1" s="32" t="s">
        <v>152</v>
      </c>
      <c r="B1" s="33"/>
      <c r="C1" s="33"/>
      <c r="D1" s="33"/>
      <c r="E1" s="33"/>
      <c r="F1" s="34"/>
      <c r="H1" s="36" t="s">
        <v>153</v>
      </c>
      <c r="I1" s="37"/>
      <c r="J1" s="37"/>
      <c r="K1" s="38"/>
    </row>
    <row r="2" spans="1:11" ht="15" customHeight="1" x14ac:dyDescent="0.2">
      <c r="A2" s="27" t="s">
        <v>145</v>
      </c>
      <c r="B2" s="26">
        <v>43151</v>
      </c>
      <c r="C2" s="26">
        <v>43175</v>
      </c>
      <c r="D2" s="26">
        <v>43192</v>
      </c>
      <c r="E2" s="26">
        <v>43207</v>
      </c>
      <c r="F2" s="26">
        <v>43223</v>
      </c>
      <c r="H2" s="39" t="s">
        <v>144</v>
      </c>
      <c r="I2" s="39" t="s">
        <v>145</v>
      </c>
      <c r="J2" s="35" t="s">
        <v>146</v>
      </c>
      <c r="K2" s="35"/>
    </row>
    <row r="3" spans="1:11" ht="15" customHeight="1" x14ac:dyDescent="0.2">
      <c r="A3" s="24" t="s">
        <v>147</v>
      </c>
      <c r="B3" s="24">
        <v>3</v>
      </c>
      <c r="C3" s="24">
        <v>4</v>
      </c>
      <c r="D3" s="24">
        <f>C3</f>
        <v>4</v>
      </c>
      <c r="E3" s="24">
        <f t="shared" ref="E3:E4" si="0">D3</f>
        <v>4</v>
      </c>
      <c r="F3" s="24">
        <v>5</v>
      </c>
      <c r="H3" s="40"/>
      <c r="I3" s="40"/>
      <c r="J3" s="28" t="s">
        <v>139</v>
      </c>
      <c r="K3" s="23" t="s">
        <v>140</v>
      </c>
    </row>
    <row r="4" spans="1:11" ht="15" customHeight="1" x14ac:dyDescent="0.2">
      <c r="A4" s="24" t="s">
        <v>148</v>
      </c>
      <c r="B4" s="25">
        <v>16</v>
      </c>
      <c r="C4" s="25">
        <f t="shared" ref="C4:C6" si="1">B4</f>
        <v>16</v>
      </c>
      <c r="D4" s="24">
        <v>17</v>
      </c>
      <c r="E4" s="24">
        <f t="shared" si="0"/>
        <v>17</v>
      </c>
      <c r="F4" s="24">
        <v>19</v>
      </c>
      <c r="H4" s="29">
        <v>43156</v>
      </c>
      <c r="I4" s="24" t="s">
        <v>147</v>
      </c>
      <c r="J4" s="30">
        <f>INDEX($A$2:$F$8,MATCH(I4,$A$2:$A$8,0),MATCH(H4,$A$2:$F$2,1))</f>
        <v>3</v>
      </c>
      <c r="K4" s="4">
        <f>VLOOKUP(I4,$A$2:$F$8,MATCH(H4,$A$2:$F$2,1),0)</f>
        <v>3</v>
      </c>
    </row>
    <row r="5" spans="1:11" ht="15" customHeight="1" x14ac:dyDescent="0.2">
      <c r="A5" s="24" t="s">
        <v>149</v>
      </c>
      <c r="B5" s="25">
        <v>15</v>
      </c>
      <c r="C5" s="25">
        <f t="shared" si="1"/>
        <v>15</v>
      </c>
      <c r="D5" s="24">
        <f t="shared" ref="D5:E5" si="2">C5</f>
        <v>15</v>
      </c>
      <c r="E5" s="24">
        <f t="shared" si="2"/>
        <v>15</v>
      </c>
      <c r="F5" s="24">
        <v>18</v>
      </c>
      <c r="H5" s="29">
        <v>43175</v>
      </c>
      <c r="I5" s="24" t="s">
        <v>148</v>
      </c>
      <c r="J5" s="30">
        <f t="shared" ref="J5:J10" si="3">INDEX($A$2:$F$8,MATCH(I5,$A$2:$A$8,0),MATCH(H5,$A$2:$F$2,1))</f>
        <v>16</v>
      </c>
      <c r="K5" s="4">
        <f t="shared" ref="K5:K10" si="4">VLOOKUP(I5,$A$2:$F$8,MATCH(H5,$A$2:$F$2,1),0)</f>
        <v>16</v>
      </c>
    </row>
    <row r="6" spans="1:11" ht="15" customHeight="1" x14ac:dyDescent="0.2">
      <c r="A6" s="24" t="s">
        <v>46</v>
      </c>
      <c r="B6" s="25">
        <v>22</v>
      </c>
      <c r="C6" s="25">
        <f t="shared" si="1"/>
        <v>22</v>
      </c>
      <c r="D6" s="24">
        <v>23</v>
      </c>
      <c r="E6" s="24">
        <v>24</v>
      </c>
      <c r="F6" s="24">
        <f>E6</f>
        <v>24</v>
      </c>
      <c r="H6" s="29">
        <v>43187</v>
      </c>
      <c r="I6" s="24" t="s">
        <v>149</v>
      </c>
      <c r="J6" s="30">
        <f t="shared" si="3"/>
        <v>15</v>
      </c>
      <c r="K6" s="4">
        <f t="shared" si="4"/>
        <v>15</v>
      </c>
    </row>
    <row r="7" spans="1:11" ht="15" customHeight="1" x14ac:dyDescent="0.2">
      <c r="A7" s="24" t="s">
        <v>150</v>
      </c>
      <c r="B7" s="24">
        <v>55</v>
      </c>
      <c r="C7" s="25">
        <f t="shared" ref="C7:D7" si="5">B7</f>
        <v>55</v>
      </c>
      <c r="D7" s="24">
        <f t="shared" si="5"/>
        <v>55</v>
      </c>
      <c r="E7" s="24">
        <v>58</v>
      </c>
      <c r="F7" s="24">
        <v>60</v>
      </c>
      <c r="H7" s="29">
        <v>43192</v>
      </c>
      <c r="I7" s="24" t="s">
        <v>149</v>
      </c>
      <c r="J7" s="30">
        <f t="shared" si="3"/>
        <v>15</v>
      </c>
      <c r="K7" s="4">
        <f t="shared" si="4"/>
        <v>15</v>
      </c>
    </row>
    <row r="8" spans="1:11" ht="15" customHeight="1" x14ac:dyDescent="0.2">
      <c r="A8" s="24" t="s">
        <v>151</v>
      </c>
      <c r="B8" s="24">
        <v>23</v>
      </c>
      <c r="C8" s="24">
        <v>24</v>
      </c>
      <c r="D8" s="24">
        <f t="shared" ref="D8:E8" si="6">C8</f>
        <v>24</v>
      </c>
      <c r="E8" s="24">
        <f t="shared" si="6"/>
        <v>24</v>
      </c>
      <c r="F8" s="24">
        <v>26</v>
      </c>
      <c r="H8" s="29">
        <v>43207</v>
      </c>
      <c r="I8" s="24" t="s">
        <v>46</v>
      </c>
      <c r="J8" s="30">
        <f t="shared" si="3"/>
        <v>24</v>
      </c>
      <c r="K8" s="4">
        <f t="shared" si="4"/>
        <v>24</v>
      </c>
    </row>
    <row r="9" spans="1:11" ht="15" customHeight="1" x14ac:dyDescent="0.2">
      <c r="H9" s="29">
        <v>43215</v>
      </c>
      <c r="I9" s="24" t="s">
        <v>150</v>
      </c>
      <c r="J9" s="30">
        <f t="shared" si="3"/>
        <v>58</v>
      </c>
      <c r="K9" s="4">
        <f t="shared" si="4"/>
        <v>58</v>
      </c>
    </row>
    <row r="10" spans="1:11" ht="15" customHeight="1" x14ac:dyDescent="0.2">
      <c r="H10" s="29">
        <v>43228</v>
      </c>
      <c r="I10" s="24" t="s">
        <v>151</v>
      </c>
      <c r="J10" s="30">
        <f t="shared" si="3"/>
        <v>26</v>
      </c>
      <c r="K10" s="4">
        <f t="shared" si="4"/>
        <v>26</v>
      </c>
    </row>
  </sheetData>
  <mergeCells count="5">
    <mergeCell ref="A1:F1"/>
    <mergeCell ref="J2:K2"/>
    <mergeCell ref="H1:K1"/>
    <mergeCell ref="H2:H3"/>
    <mergeCell ref="I2:I3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DEC310-2A17-4908-B659-A98A37E9DE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CHOOSE</vt:lpstr>
      <vt:lpstr>VLOOKUP</vt:lpstr>
      <vt:lpstr>HLOOKUP</vt:lpstr>
      <vt:lpstr>LOOKUP-精确</vt:lpstr>
      <vt:lpstr>LOOKUP-模糊</vt:lpstr>
      <vt:lpstr>LOOKUP-不一致2</vt:lpstr>
      <vt:lpstr>MATCH-精确匹配</vt:lpstr>
      <vt:lpstr>MATCH-近似匹配</vt:lpstr>
      <vt:lpstr>MATCH-季度</vt:lpstr>
      <vt:lpstr>INDEX</vt:lpstr>
      <vt:lpstr>INDEX_MATCH</vt:lpstr>
      <vt:lpstr>OFFSET</vt:lpstr>
      <vt:lpstr>OFFSET-2</vt:lpstr>
      <vt:lpstr>INDIRECT</vt:lpstr>
      <vt:lpstr>实战一</vt:lpstr>
      <vt:lpstr>实战二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2019-05-07T12:39:26Z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fb89fdcb-4cef-4601-b82f-2185a81bfc88</vt:lpwstr>
  </property>
</Properties>
</file>