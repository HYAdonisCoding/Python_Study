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2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3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4.xml" ContentType="application/vnd.openxmlformats-officedocument.drawing+xml"/>
  <Override PartName="/xl/charts/chart31.xml" ContentType="application/vnd.openxmlformats-officedocument.drawingml.chart+xml"/>
  <Override PartName="/xl/drawings/drawing15.xml" ContentType="application/vnd.openxmlformats-officedocument.drawing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DD5E943E-FEF3-493E-8AFC-C1D326A1A7BE}" xr6:coauthVersionLast="43" xr6:coauthVersionMax="43" xr10:uidLastSave="{00000000-0000-0000-0000-000000000000}"/>
  <bookViews>
    <workbookView xWindow="-120" yWindow="-120" windowWidth="24240" windowHeight="13140" tabRatio="852" xr2:uid="{00000000-000D-0000-FFFF-FFFF00000000}"/>
  </bookViews>
  <sheets>
    <sheet name="柱形图" sheetId="2" r:id="rId1"/>
    <sheet name="折线图" sheetId="3" r:id="rId2"/>
    <sheet name="饼图-1" sheetId="4" r:id="rId3"/>
    <sheet name="饼图-2" sheetId="5" r:id="rId4"/>
    <sheet name="条形图" sheetId="6" r:id="rId5"/>
    <sheet name="条形图-2" sheetId="7" r:id="rId6"/>
    <sheet name="条形图-3" sheetId="8" r:id="rId7"/>
    <sheet name="面积图" sheetId="9" r:id="rId8"/>
    <sheet name="XY散点图" sheetId="10" r:id="rId9"/>
    <sheet name="XY散点图-气泡图" sheetId="11" r:id="rId10"/>
    <sheet name="股价图" sheetId="12" r:id="rId11"/>
    <sheet name="股价图-2" sheetId="13" r:id="rId12"/>
    <sheet name="雷达图" sheetId="14" r:id="rId13"/>
    <sheet name="曲面图" sheetId="15" r:id="rId14"/>
    <sheet name="组合图" sheetId="16" r:id="rId15"/>
  </sheets>
  <externalReferences>
    <externalReference r:id="rId16"/>
  </externalReferences>
  <definedNames>
    <definedName name="标题">[1]动态图表!$B$2:$D$2</definedName>
    <definedName name="业绩">OFFSET([1]动态图表!$A$2,[1]动态图表!$F$2,1,1,3)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8" i="16" l="1"/>
  <c r="D8" i="16"/>
  <c r="E7" i="16"/>
  <c r="D7" i="16"/>
  <c r="E6" i="16"/>
  <c r="D6" i="16"/>
  <c r="E5" i="16"/>
  <c r="D5" i="16"/>
  <c r="E4" i="16"/>
  <c r="D4" i="16"/>
  <c r="D3" i="16"/>
  <c r="A4" i="15"/>
  <c r="A5" i="15" s="1"/>
  <c r="B3" i="15"/>
  <c r="C2" i="15"/>
  <c r="C3" i="15" s="1"/>
  <c r="D18" i="7"/>
  <c r="C18" i="7"/>
  <c r="B18" i="7"/>
  <c r="D17" i="7"/>
  <c r="C17" i="7"/>
  <c r="B17" i="7"/>
  <c r="D16" i="7"/>
  <c r="C16" i="7"/>
  <c r="B16" i="7"/>
  <c r="D15" i="7"/>
  <c r="C15" i="7"/>
  <c r="B15" i="7"/>
  <c r="D14" i="7"/>
  <c r="C14" i="7"/>
  <c r="B14" i="7"/>
  <c r="D13" i="7"/>
  <c r="C13" i="7"/>
  <c r="B13" i="7"/>
  <c r="E14" i="3"/>
  <c r="E13" i="3"/>
  <c r="E12" i="3"/>
  <c r="E11" i="3"/>
  <c r="E10" i="3"/>
  <c r="E9" i="3"/>
  <c r="E8" i="3"/>
  <c r="E7" i="3"/>
  <c r="E6" i="3"/>
  <c r="E5" i="3"/>
  <c r="E4" i="3"/>
  <c r="E3" i="3"/>
  <c r="D2" i="15" l="1"/>
  <c r="D3" i="15" s="1"/>
  <c r="D5" i="15"/>
  <c r="E2" i="15"/>
  <c r="E5" i="15" s="1"/>
  <c r="B5" i="15"/>
  <c r="C5" i="15"/>
  <c r="A6" i="15"/>
  <c r="B4" i="15"/>
  <c r="D4" i="15"/>
  <c r="C4" i="15"/>
  <c r="E3" i="15" l="1"/>
  <c r="F2" i="15"/>
  <c r="E4" i="15"/>
  <c r="D6" i="15"/>
  <c r="B6" i="15"/>
  <c r="F6" i="15"/>
  <c r="E6" i="15"/>
  <c r="A7" i="15"/>
  <c r="C6" i="15"/>
  <c r="D7" i="15" l="1"/>
  <c r="F7" i="15"/>
  <c r="B7" i="15"/>
  <c r="A8" i="15"/>
  <c r="E7" i="15"/>
  <c r="C7" i="15"/>
  <c r="F3" i="15"/>
  <c r="G2" i="15"/>
  <c r="G7" i="15" s="1"/>
  <c r="F4" i="15"/>
  <c r="F5" i="15"/>
  <c r="G3" i="15" l="1"/>
  <c r="H2" i="15"/>
  <c r="H8" i="15" s="1"/>
  <c r="G5" i="15"/>
  <c r="G4" i="15"/>
  <c r="G6" i="15"/>
  <c r="F8" i="15"/>
  <c r="B8" i="15"/>
  <c r="A9" i="15"/>
  <c r="D8" i="15"/>
  <c r="G8" i="15"/>
  <c r="E8" i="15"/>
  <c r="C8" i="15"/>
  <c r="H9" i="15" l="1"/>
  <c r="D9" i="15"/>
  <c r="C9" i="15"/>
  <c r="F9" i="15"/>
  <c r="G9" i="15"/>
  <c r="A10" i="15"/>
  <c r="B9" i="15"/>
  <c r="E9" i="15"/>
  <c r="H3" i="15"/>
  <c r="I2" i="15"/>
  <c r="I9" i="15" s="1"/>
  <c r="H5" i="15"/>
  <c r="H4" i="15"/>
  <c r="H6" i="15"/>
  <c r="H7" i="15"/>
  <c r="I3" i="15" l="1"/>
  <c r="J2" i="15"/>
  <c r="J10" i="15" s="1"/>
  <c r="I5" i="15"/>
  <c r="I4" i="15"/>
  <c r="I6" i="15"/>
  <c r="I7" i="15"/>
  <c r="I8" i="15"/>
  <c r="F10" i="15"/>
  <c r="B10" i="15"/>
  <c r="H10" i="15"/>
  <c r="C10" i="15"/>
  <c r="E10" i="15"/>
  <c r="G10" i="15"/>
  <c r="A11" i="15"/>
  <c r="D10" i="15"/>
  <c r="I10" i="15"/>
  <c r="J3" i="15" l="1"/>
  <c r="K2" i="15"/>
  <c r="J4" i="15"/>
  <c r="J5" i="15"/>
  <c r="J6" i="15"/>
  <c r="J7" i="15"/>
  <c r="J8" i="15"/>
  <c r="J9" i="15"/>
  <c r="H11" i="15"/>
  <c r="D11" i="15"/>
  <c r="A12" i="15"/>
  <c r="G11" i="15"/>
  <c r="B11" i="15"/>
  <c r="J11" i="15"/>
  <c r="E11" i="15"/>
  <c r="F11" i="15"/>
  <c r="C11" i="15"/>
  <c r="K11" i="15"/>
  <c r="I11" i="15"/>
  <c r="J12" i="15" l="1"/>
  <c r="F12" i="15"/>
  <c r="B12" i="15"/>
  <c r="A13" i="15"/>
  <c r="G12" i="15"/>
  <c r="I12" i="15"/>
  <c r="D12" i="15"/>
  <c r="E12" i="15"/>
  <c r="K12" i="15"/>
  <c r="C12" i="15"/>
  <c r="H12" i="15"/>
  <c r="L2" i="15"/>
  <c r="K3" i="15"/>
  <c r="K5" i="15"/>
  <c r="K4" i="15"/>
  <c r="K6" i="15"/>
  <c r="K7" i="15"/>
  <c r="K8" i="15"/>
  <c r="K9" i="15"/>
  <c r="K10" i="15"/>
  <c r="L13" i="15" l="1"/>
  <c r="H13" i="15"/>
  <c r="D13" i="15"/>
  <c r="K13" i="15"/>
  <c r="F13" i="15"/>
  <c r="I13" i="15"/>
  <c r="C13" i="15"/>
  <c r="E13" i="15"/>
  <c r="J13" i="15"/>
  <c r="A14" i="15"/>
  <c r="B13" i="15"/>
  <c r="G13" i="15"/>
  <c r="L3" i="15"/>
  <c r="M2" i="15"/>
  <c r="L4" i="15"/>
  <c r="L5" i="15"/>
  <c r="L6" i="15"/>
  <c r="L7" i="15"/>
  <c r="L8" i="15"/>
  <c r="L9" i="15"/>
  <c r="L10" i="15"/>
  <c r="L11" i="15"/>
  <c r="L12" i="15"/>
  <c r="M3" i="15" l="1"/>
  <c r="N2" i="15"/>
  <c r="N14" i="15" s="1"/>
  <c r="M5" i="15"/>
  <c r="M4" i="15"/>
  <c r="M6" i="15"/>
  <c r="M7" i="15"/>
  <c r="M8" i="15"/>
  <c r="M9" i="15"/>
  <c r="M10" i="15"/>
  <c r="M11" i="15"/>
  <c r="M12" i="15"/>
  <c r="M13" i="15"/>
  <c r="J14" i="15"/>
  <c r="F14" i="15"/>
  <c r="B14" i="15"/>
  <c r="K14" i="15"/>
  <c r="E14" i="15"/>
  <c r="M14" i="15"/>
  <c r="H14" i="15"/>
  <c r="C14" i="15"/>
  <c r="D14" i="15"/>
  <c r="I14" i="15"/>
  <c r="A15" i="15"/>
  <c r="L14" i="15"/>
  <c r="G14" i="15"/>
  <c r="N3" i="15" l="1"/>
  <c r="O2" i="15"/>
  <c r="O15" i="15" s="1"/>
  <c r="N5" i="15"/>
  <c r="N4" i="15"/>
  <c r="N6" i="15"/>
  <c r="N7" i="15"/>
  <c r="N8" i="15"/>
  <c r="N9" i="15"/>
  <c r="N10" i="15"/>
  <c r="N11" i="15"/>
  <c r="N12" i="15"/>
  <c r="N13" i="15"/>
  <c r="L15" i="15"/>
  <c r="H15" i="15"/>
  <c r="D15" i="15"/>
  <c r="J15" i="15"/>
  <c r="E15" i="15"/>
  <c r="A16" i="15"/>
  <c r="M15" i="15"/>
  <c r="G15" i="15"/>
  <c r="B15" i="15"/>
  <c r="N15" i="15"/>
  <c r="C15" i="15"/>
  <c r="K15" i="15"/>
  <c r="I15" i="15"/>
  <c r="F15" i="15"/>
  <c r="N16" i="15" l="1"/>
  <c r="J16" i="15"/>
  <c r="F16" i="15"/>
  <c r="B16" i="15"/>
  <c r="O16" i="15"/>
  <c r="I16" i="15"/>
  <c r="D16" i="15"/>
  <c r="A17" i="15"/>
  <c r="L16" i="15"/>
  <c r="G16" i="15"/>
  <c r="M16" i="15"/>
  <c r="C16" i="15"/>
  <c r="K16" i="15"/>
  <c r="H16" i="15"/>
  <c r="E16" i="15"/>
  <c r="O3" i="15"/>
  <c r="P2" i="15"/>
  <c r="P16" i="15" s="1"/>
  <c r="O4" i="15"/>
  <c r="O5" i="15"/>
  <c r="O6" i="15"/>
  <c r="O7" i="15"/>
  <c r="O8" i="15"/>
  <c r="O9" i="15"/>
  <c r="O10" i="15"/>
  <c r="O11" i="15"/>
  <c r="O12" i="15"/>
  <c r="O13" i="15"/>
  <c r="O14" i="15"/>
  <c r="Q2" i="15" l="1"/>
  <c r="P3" i="15"/>
  <c r="P5" i="15"/>
  <c r="P4" i="15"/>
  <c r="P6" i="15"/>
  <c r="P7" i="15"/>
  <c r="P8" i="15"/>
  <c r="P9" i="15"/>
  <c r="P10" i="15"/>
  <c r="P11" i="15"/>
  <c r="P12" i="15"/>
  <c r="P13" i="15"/>
  <c r="P14" i="15"/>
  <c r="P15" i="15"/>
  <c r="P17" i="15"/>
  <c r="L17" i="15"/>
  <c r="H17" i="15"/>
  <c r="D17" i="15"/>
  <c r="N17" i="15"/>
  <c r="I17" i="15"/>
  <c r="C17" i="15"/>
  <c r="Q17" i="15"/>
  <c r="K17" i="15"/>
  <c r="F17" i="15"/>
  <c r="A18" i="15"/>
  <c r="M17" i="15"/>
  <c r="B17" i="15"/>
  <c r="G17" i="15"/>
  <c r="J17" i="15"/>
  <c r="E17" i="15"/>
  <c r="O17" i="15"/>
  <c r="N18" i="15" l="1"/>
  <c r="J18" i="15"/>
  <c r="F18" i="15"/>
  <c r="B18" i="15"/>
  <c r="M18" i="15"/>
  <c r="H18" i="15"/>
  <c r="C18" i="15"/>
  <c r="P18" i="15"/>
  <c r="K18" i="15"/>
  <c r="E18" i="15"/>
  <c r="A19" i="15"/>
  <c r="L18" i="15"/>
  <c r="Q18" i="15"/>
  <c r="I18" i="15"/>
  <c r="G18" i="15"/>
  <c r="D18" i="15"/>
  <c r="O18" i="15"/>
  <c r="R2" i="15"/>
  <c r="Q3" i="15"/>
  <c r="Q5" i="15"/>
  <c r="Q4" i="15"/>
  <c r="Q6" i="15"/>
  <c r="Q7" i="15"/>
  <c r="Q8" i="15"/>
  <c r="Q9" i="15"/>
  <c r="Q10" i="15"/>
  <c r="Q11" i="15"/>
  <c r="Q12" i="15"/>
  <c r="Q13" i="15"/>
  <c r="Q14" i="15"/>
  <c r="Q15" i="15"/>
  <c r="Q16" i="15"/>
  <c r="R3" i="15" l="1"/>
  <c r="S2" i="15"/>
  <c r="S19" i="15" s="1"/>
  <c r="R5" i="15"/>
  <c r="R4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Q19" i="15"/>
  <c r="P19" i="15"/>
  <c r="L19" i="15"/>
  <c r="H19" i="15"/>
  <c r="D19" i="15"/>
  <c r="M19" i="15"/>
  <c r="G19" i="15"/>
  <c r="B19" i="15"/>
  <c r="A20" i="15"/>
  <c r="O19" i="15"/>
  <c r="J19" i="15"/>
  <c r="E19" i="15"/>
  <c r="K19" i="15"/>
  <c r="R19" i="15"/>
  <c r="F19" i="15"/>
  <c r="I19" i="15"/>
  <c r="C19" i="15"/>
  <c r="N19" i="15"/>
  <c r="S3" i="15" l="1"/>
  <c r="T2" i="15"/>
  <c r="T20" i="15" s="1"/>
  <c r="S4" i="15"/>
  <c r="S5" i="15"/>
  <c r="S6" i="15"/>
  <c r="S7" i="15"/>
  <c r="S8" i="15"/>
  <c r="S9" i="15"/>
  <c r="S10" i="15"/>
  <c r="S11" i="15"/>
  <c r="S12" i="15"/>
  <c r="S13" i="15"/>
  <c r="S14" i="15"/>
  <c r="S15" i="15"/>
  <c r="S16" i="15"/>
  <c r="S17" i="15"/>
  <c r="S18" i="15"/>
  <c r="A21" i="15"/>
  <c r="S20" i="15"/>
  <c r="O20" i="15"/>
  <c r="K20" i="15"/>
  <c r="G20" i="15"/>
  <c r="C20" i="15"/>
  <c r="R20" i="15"/>
  <c r="N20" i="15"/>
  <c r="J20" i="15"/>
  <c r="F20" i="15"/>
  <c r="B20" i="15"/>
  <c r="M20" i="15"/>
  <c r="E20" i="15"/>
  <c r="Q20" i="15"/>
  <c r="I20" i="15"/>
  <c r="D20" i="15"/>
  <c r="P20" i="15"/>
  <c r="L20" i="15"/>
  <c r="H20" i="15"/>
  <c r="Q21" i="15" l="1"/>
  <c r="M21" i="15"/>
  <c r="I21" i="15"/>
  <c r="E21" i="15"/>
  <c r="T21" i="15"/>
  <c r="P21" i="15"/>
  <c r="L21" i="15"/>
  <c r="H21" i="15"/>
  <c r="D21" i="15"/>
  <c r="A22" i="15"/>
  <c r="O21" i="15"/>
  <c r="G21" i="15"/>
  <c r="S21" i="15"/>
  <c r="K21" i="15"/>
  <c r="C21" i="15"/>
  <c r="N21" i="15"/>
  <c r="F21" i="15"/>
  <c r="J21" i="15"/>
  <c r="R21" i="15"/>
  <c r="B21" i="15"/>
  <c r="T3" i="15"/>
  <c r="U2" i="15"/>
  <c r="T4" i="15"/>
  <c r="T5" i="15"/>
  <c r="T6" i="15"/>
  <c r="T7" i="15"/>
  <c r="T8" i="15"/>
  <c r="T9" i="15"/>
  <c r="T10" i="15"/>
  <c r="T11" i="15"/>
  <c r="T12" i="15"/>
  <c r="T13" i="15"/>
  <c r="T14" i="15"/>
  <c r="T15" i="15"/>
  <c r="T16" i="15"/>
  <c r="T17" i="15"/>
  <c r="T18" i="15"/>
  <c r="T19" i="15"/>
  <c r="V2" i="15" l="1"/>
  <c r="U4" i="15"/>
  <c r="U3" i="15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A23" i="15"/>
  <c r="S22" i="15"/>
  <c r="O22" i="15"/>
  <c r="K22" i="15"/>
  <c r="G22" i="15"/>
  <c r="C22" i="15"/>
  <c r="V22" i="15"/>
  <c r="R22" i="15"/>
  <c r="N22" i="15"/>
  <c r="J22" i="15"/>
  <c r="F22" i="15"/>
  <c r="B22" i="15"/>
  <c r="Q22" i="15"/>
  <c r="I22" i="15"/>
  <c r="U22" i="15"/>
  <c r="M22" i="15"/>
  <c r="E22" i="15"/>
  <c r="H22" i="15"/>
  <c r="P22" i="15"/>
  <c r="T22" i="15"/>
  <c r="D22" i="15"/>
  <c r="L22" i="15"/>
  <c r="U21" i="15"/>
  <c r="U23" i="15" l="1"/>
  <c r="Q23" i="15"/>
  <c r="M23" i="15"/>
  <c r="I23" i="15"/>
  <c r="E23" i="15"/>
  <c r="T23" i="15"/>
  <c r="P23" i="15"/>
  <c r="L23" i="15"/>
  <c r="H23" i="15"/>
  <c r="D23" i="15"/>
  <c r="S23" i="15"/>
  <c r="K23" i="15"/>
  <c r="C23" i="15"/>
  <c r="O23" i="15"/>
  <c r="G23" i="15"/>
  <c r="R23" i="15"/>
  <c r="B23" i="15"/>
  <c r="J23" i="15"/>
  <c r="N23" i="15"/>
  <c r="F23" i="15"/>
  <c r="V23" i="15"/>
  <c r="V3" i="15"/>
  <c r="V5" i="15"/>
  <c r="V4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</calcChain>
</file>

<file path=xl/sharedStrings.xml><?xml version="1.0" encoding="utf-8"?>
<sst xmlns="http://schemas.openxmlformats.org/spreadsheetml/2006/main" count="327" uniqueCount="113">
  <si>
    <t>月份</t>
    <phoneticPr fontId="3" type="noConversion"/>
  </si>
  <si>
    <t>区域一</t>
    <phoneticPr fontId="3" type="noConversion"/>
  </si>
  <si>
    <t>区域二</t>
    <phoneticPr fontId="3" type="noConversion"/>
  </si>
  <si>
    <t>1月</t>
    <phoneticPr fontId="3" type="noConversion"/>
  </si>
  <si>
    <t>2月</t>
  </si>
  <si>
    <t>3月</t>
  </si>
  <si>
    <t>4月</t>
  </si>
  <si>
    <t>5月</t>
  </si>
  <si>
    <t>6月</t>
  </si>
  <si>
    <t>2015年</t>
    <phoneticPr fontId="3" type="noConversion"/>
  </si>
  <si>
    <t>2016年</t>
    <phoneticPr fontId="3" type="noConversion"/>
  </si>
  <si>
    <t>2017年</t>
    <phoneticPr fontId="3" type="noConversion"/>
  </si>
  <si>
    <t>2017年平均值</t>
    <phoneticPr fontId="3" type="noConversion"/>
  </si>
  <si>
    <t>7月</t>
  </si>
  <si>
    <t>8月</t>
  </si>
  <si>
    <t>9月</t>
  </si>
  <si>
    <t>10月</t>
  </si>
  <si>
    <t>11月</t>
  </si>
  <si>
    <t>12月</t>
  </si>
  <si>
    <t>类别</t>
    <phoneticPr fontId="3" type="noConversion"/>
  </si>
  <si>
    <t>销售额</t>
    <phoneticPr fontId="3" type="noConversion"/>
  </si>
  <si>
    <t>化妆品</t>
    <phoneticPr fontId="3" type="noConversion"/>
  </si>
  <si>
    <t>日用品</t>
    <phoneticPr fontId="3" type="noConversion"/>
  </si>
  <si>
    <t>饮料类</t>
    <phoneticPr fontId="3" type="noConversion"/>
  </si>
  <si>
    <t>家电类</t>
  </si>
  <si>
    <t>商品名称</t>
  </si>
  <si>
    <t>家电类</t>
    <phoneticPr fontId="3" type="noConversion"/>
  </si>
  <si>
    <t>冰箱</t>
    <phoneticPr fontId="3" type="noConversion"/>
  </si>
  <si>
    <t>彩电</t>
    <phoneticPr fontId="3" type="noConversion"/>
  </si>
  <si>
    <t>洗衣机</t>
    <phoneticPr fontId="3" type="noConversion"/>
  </si>
  <si>
    <t>空调</t>
    <phoneticPr fontId="3" type="noConversion"/>
  </si>
  <si>
    <t>国家/地区</t>
  </si>
  <si>
    <t>所在洲</t>
  </si>
  <si>
    <t>GDP(万亿/美元)</t>
    <phoneticPr fontId="3" type="noConversion"/>
  </si>
  <si>
    <t>美国</t>
  </si>
  <si>
    <t>美洲</t>
  </si>
  <si>
    <t>欧盟地区</t>
  </si>
  <si>
    <t>中国</t>
  </si>
  <si>
    <t>亚洲</t>
  </si>
  <si>
    <t>日本</t>
  </si>
  <si>
    <t>德国</t>
  </si>
  <si>
    <t>欧洲</t>
  </si>
  <si>
    <t>英国</t>
  </si>
  <si>
    <t>印度</t>
  </si>
  <si>
    <t>法国</t>
  </si>
  <si>
    <t>巴西</t>
  </si>
  <si>
    <t>意大利</t>
  </si>
  <si>
    <t>产品A</t>
    <phoneticPr fontId="3" type="noConversion"/>
  </si>
  <si>
    <t>产品B</t>
    <phoneticPr fontId="3" type="noConversion"/>
  </si>
  <si>
    <t>产品C</t>
    <phoneticPr fontId="3" type="noConversion"/>
  </si>
  <si>
    <t>年龄段</t>
    <phoneticPr fontId="3" type="noConversion"/>
  </si>
  <si>
    <t>男</t>
    <phoneticPr fontId="3" type="noConversion"/>
  </si>
  <si>
    <t>女</t>
    <phoneticPr fontId="3" type="noConversion"/>
  </si>
  <si>
    <t>&lt;21</t>
    <phoneticPr fontId="3" type="noConversion"/>
  </si>
  <si>
    <t>21-30</t>
    <phoneticPr fontId="3" type="noConversion"/>
  </si>
  <si>
    <t>31-40</t>
    <phoneticPr fontId="3" type="noConversion"/>
  </si>
  <si>
    <t>41-50</t>
    <phoneticPr fontId="3" type="noConversion"/>
  </si>
  <si>
    <t>51-60</t>
    <phoneticPr fontId="3" type="noConversion"/>
  </si>
  <si>
    <t>&gt;60</t>
    <phoneticPr fontId="3" type="noConversion"/>
  </si>
  <si>
    <t>年龄段</t>
  </si>
  <si>
    <t>辅助列</t>
    <phoneticPr fontId="3" type="noConversion"/>
  </si>
  <si>
    <t>男</t>
  </si>
  <si>
    <t>女</t>
  </si>
  <si>
    <t>&lt;21</t>
  </si>
  <si>
    <t>21-30</t>
  </si>
  <si>
    <t>31-40</t>
  </si>
  <si>
    <t>41-50</t>
  </si>
  <si>
    <t>51-60</t>
  </si>
  <si>
    <t>&gt;60</t>
  </si>
  <si>
    <t>id</t>
    <phoneticPr fontId="11" type="noConversion"/>
  </si>
  <si>
    <t>Sepal.Length</t>
    <phoneticPr fontId="11" type="noConversion"/>
  </si>
  <si>
    <t>Sepal.Width</t>
  </si>
  <si>
    <t>Species</t>
  </si>
  <si>
    <t>广告费</t>
    <phoneticPr fontId="3" type="noConversion"/>
  </si>
  <si>
    <t>setosa</t>
  </si>
  <si>
    <t>versicolor</t>
  </si>
  <si>
    <t>virginica</t>
  </si>
  <si>
    <t>产品</t>
    <phoneticPr fontId="3" type="noConversion"/>
  </si>
  <si>
    <t>达成率</t>
    <phoneticPr fontId="3" type="noConversion"/>
  </si>
  <si>
    <t>利润率</t>
    <phoneticPr fontId="3" type="noConversion"/>
  </si>
  <si>
    <t>衣服</t>
    <phoneticPr fontId="3" type="noConversion"/>
  </si>
  <si>
    <t>裤子</t>
    <phoneticPr fontId="3" type="noConversion"/>
  </si>
  <si>
    <t>鞋子</t>
    <phoneticPr fontId="3" type="noConversion"/>
  </si>
  <si>
    <t>背包</t>
    <phoneticPr fontId="3" type="noConversion"/>
  </si>
  <si>
    <t>球类</t>
    <phoneticPr fontId="3" type="noConversion"/>
  </si>
  <si>
    <t>袜子</t>
    <phoneticPr fontId="3" type="noConversion"/>
  </si>
  <si>
    <t>日期</t>
    <phoneticPr fontId="3" type="noConversion"/>
  </si>
  <si>
    <t>成交量</t>
    <phoneticPr fontId="3" type="noConversion"/>
  </si>
  <si>
    <t>开盘</t>
    <phoneticPr fontId="3" type="noConversion"/>
  </si>
  <si>
    <t>盘高</t>
    <phoneticPr fontId="3" type="noConversion"/>
  </si>
  <si>
    <t>盘低</t>
    <phoneticPr fontId="3" type="noConversion"/>
  </si>
  <si>
    <t>收盘</t>
    <phoneticPr fontId="3" type="noConversion"/>
  </si>
  <si>
    <t>日期</t>
    <phoneticPr fontId="3" type="noConversion"/>
  </si>
  <si>
    <t>最高气温</t>
    <phoneticPr fontId="3" type="noConversion"/>
  </si>
  <si>
    <t>最低气温</t>
    <phoneticPr fontId="3" type="noConversion"/>
  </si>
  <si>
    <t>平均气温</t>
    <phoneticPr fontId="3" type="noConversion"/>
  </si>
  <si>
    <t>属性类型</t>
    <phoneticPr fontId="3" type="noConversion"/>
  </si>
  <si>
    <t>甲</t>
    <phoneticPr fontId="3" type="noConversion"/>
  </si>
  <si>
    <t>乙</t>
    <phoneticPr fontId="3" type="noConversion"/>
  </si>
  <si>
    <t>生命力</t>
    <phoneticPr fontId="3" type="noConversion"/>
  </si>
  <si>
    <t>攻击力</t>
    <phoneticPr fontId="3" type="noConversion"/>
  </si>
  <si>
    <t>防御力</t>
    <phoneticPr fontId="3" type="noConversion"/>
  </si>
  <si>
    <t>敏捷性</t>
    <phoneticPr fontId="3" type="noConversion"/>
  </si>
  <si>
    <t>持久性</t>
    <phoneticPr fontId="3" type="noConversion"/>
  </si>
  <si>
    <t>月份</t>
    <phoneticPr fontId="14" type="noConversion"/>
  </si>
  <si>
    <t>2017年销量</t>
    <phoneticPr fontId="14" type="noConversion"/>
  </si>
  <si>
    <t>2018年销量</t>
    <phoneticPr fontId="14" type="noConversion"/>
  </si>
  <si>
    <t>2018年同比</t>
    <phoneticPr fontId="14" type="noConversion"/>
  </si>
  <si>
    <t>2018年环比</t>
    <phoneticPr fontId="14" type="noConversion"/>
  </si>
  <si>
    <t>1月</t>
    <phoneticPr fontId="14" type="noConversion"/>
  </si>
  <si>
    <t>2月</t>
    <phoneticPr fontId="14" type="noConversion"/>
  </si>
  <si>
    <t>3月</t>
    <phoneticPr fontId="14" type="noConversion"/>
  </si>
  <si>
    <t>4月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</si>
</sst>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#,##0_ "/>
    <numFmt numFmtId="177" formatCode="m/d;@"/>
    <numFmt numFmtId="178" formatCode="0.00_ "/>
    <numFmt numFmtId="179" formatCode="0.0_ "/>
    <numFmt numFmtId="180" formatCode="0.0"/>
  </numFmts>
  <fonts count="1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3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b/>
      <sz val="10"/>
      <color theme="1" tint="4.9989318521683403E-2"/>
      <name val="宋体"/>
      <family val="3"/>
      <charset val="134"/>
    </font>
    <font>
      <sz val="10"/>
      <color theme="1" tint="4.9989318521683403E-2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3"/>
      <color theme="1"/>
      <name val="等线"/>
      <family val="2"/>
      <scheme val="minor"/>
    </font>
    <font>
      <sz val="10"/>
      <name val="宋体"/>
      <family val="3"/>
      <charset val="134"/>
    </font>
    <font>
      <i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/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/>
    <xf numFmtId="0" fontId="7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9" fontId="5" fillId="0" borderId="1" xfId="1" applyFont="1" applyBorder="1" applyAlignment="1">
      <alignment horizontal="center"/>
    </xf>
    <xf numFmtId="9" fontId="0" fillId="0" borderId="0" xfId="0" applyNumberFormat="1"/>
    <xf numFmtId="58" fontId="0" fillId="0" borderId="0" xfId="0" applyNumberForma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4" fillId="2" borderId="1" xfId="0" applyNumberFormat="1" applyFont="1" applyFill="1" applyBorder="1" applyAlignment="1">
      <alignment horizontal="center"/>
    </xf>
    <xf numFmtId="177" fontId="5" fillId="0" borderId="1" xfId="0" applyNumberFormat="1" applyFont="1" applyBorder="1" applyAlignment="1">
      <alignment horizontal="center"/>
    </xf>
    <xf numFmtId="178" fontId="5" fillId="0" borderId="1" xfId="0" applyNumberFormat="1" applyFont="1" applyBorder="1" applyAlignment="1">
      <alignment horizontal="center"/>
    </xf>
    <xf numFmtId="179" fontId="4" fillId="2" borderId="1" xfId="0" applyNumberFormat="1" applyFont="1" applyFill="1" applyBorder="1" applyAlignment="1">
      <alignment horizontal="center"/>
    </xf>
    <xf numFmtId="179" fontId="5" fillId="0" borderId="1" xfId="0" applyNumberFormat="1" applyFont="1" applyBorder="1" applyAlignment="1">
      <alignment horizontal="center"/>
    </xf>
    <xf numFmtId="177" fontId="0" fillId="0" borderId="0" xfId="0" applyNumberFormat="1"/>
    <xf numFmtId="179" fontId="0" fillId="0" borderId="0" xfId="0" applyNumberFormat="1"/>
    <xf numFmtId="0" fontId="5" fillId="0" borderId="0" xfId="0" applyFont="1" applyAlignment="1">
      <alignment horizontal="center"/>
    </xf>
    <xf numFmtId="180" fontId="5" fillId="0" borderId="1" xfId="0" applyNumberFormat="1" applyFont="1" applyBorder="1" applyAlignment="1">
      <alignment horizontal="center" vertical="center"/>
    </xf>
    <xf numFmtId="0" fontId="12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b="1"/>
              <a:t>企业不同区域销售业绩走势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95425732159967"/>
          <c:y val="0.22275429152566145"/>
          <c:w val="0.83680960165767371"/>
          <c:h val="0.577478476617979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柱形图!$B$2</c:f>
              <c:strCache>
                <c:ptCount val="1"/>
                <c:pt idx="0">
                  <c:v>区域一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柱形图!$A$3:$A$8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柱形图!$B$3:$B$8</c:f>
              <c:numCache>
                <c:formatCode>#,##0_ </c:formatCode>
                <c:ptCount val="6"/>
                <c:pt idx="0">
                  <c:v>15341</c:v>
                </c:pt>
                <c:pt idx="1">
                  <c:v>16634</c:v>
                </c:pt>
                <c:pt idx="2">
                  <c:v>18545</c:v>
                </c:pt>
                <c:pt idx="3">
                  <c:v>19987</c:v>
                </c:pt>
                <c:pt idx="4">
                  <c:v>21867</c:v>
                </c:pt>
                <c:pt idx="5">
                  <c:v>22883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2-4629-8C28-854094A7E707}"/>
            </c:ext>
          </c:extLst>
        </c:ser>
        <c:ser>
          <c:idx val="1"/>
          <c:order val="1"/>
          <c:tx>
            <c:strRef>
              <c:f>柱形图!$C$2</c:f>
              <c:strCache>
                <c:ptCount val="1"/>
                <c:pt idx="0">
                  <c:v>区域二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柱形图!$A$3:$A$8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柱形图!$C$3:$C$8</c:f>
              <c:numCache>
                <c:formatCode>#,##0_ </c:formatCode>
                <c:ptCount val="6"/>
                <c:pt idx="0">
                  <c:v>28843</c:v>
                </c:pt>
                <c:pt idx="1">
                  <c:v>27767</c:v>
                </c:pt>
                <c:pt idx="2">
                  <c:v>26535</c:v>
                </c:pt>
                <c:pt idx="3">
                  <c:v>24732</c:v>
                </c:pt>
                <c:pt idx="4">
                  <c:v>23586</c:v>
                </c:pt>
                <c:pt idx="5">
                  <c:v>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52-4629-8C28-854094A7E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548368"/>
        <c:axId val="393548040"/>
      </c:barChart>
      <c:catAx>
        <c:axId val="3935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93548040"/>
        <c:crosses val="autoZero"/>
        <c:auto val="1"/>
        <c:lblAlgn val="ctr"/>
        <c:lblOffset val="100"/>
        <c:noMultiLvlLbl val="0"/>
      </c:catAx>
      <c:valAx>
        <c:axId val="393548040"/>
        <c:scaling>
          <c:orientation val="minMax"/>
          <c:max val="30000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9354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b="1"/>
              <a:t>企业不同区域销售业绩走势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95425732159967"/>
          <c:y val="0.22275429152566145"/>
          <c:w val="0.83680960165767371"/>
          <c:h val="0.566344181234767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柱形图!$B$2</c:f>
              <c:strCache>
                <c:ptCount val="1"/>
                <c:pt idx="0">
                  <c:v>区域一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柱形图!$A$3:$A$8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柱形图!$B$3:$B$8</c:f>
              <c:numCache>
                <c:formatCode>#,##0_ </c:formatCode>
                <c:ptCount val="6"/>
                <c:pt idx="0">
                  <c:v>15341</c:v>
                </c:pt>
                <c:pt idx="1">
                  <c:v>16634</c:v>
                </c:pt>
                <c:pt idx="2">
                  <c:v>18545</c:v>
                </c:pt>
                <c:pt idx="3">
                  <c:v>19987</c:v>
                </c:pt>
                <c:pt idx="4">
                  <c:v>21867</c:v>
                </c:pt>
                <c:pt idx="5">
                  <c:v>22883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9-4847-91EF-60C9752E8A0E}"/>
            </c:ext>
          </c:extLst>
        </c:ser>
        <c:ser>
          <c:idx val="1"/>
          <c:order val="1"/>
          <c:tx>
            <c:strRef>
              <c:f>柱形图!$C$2</c:f>
              <c:strCache>
                <c:ptCount val="1"/>
                <c:pt idx="0">
                  <c:v>区域二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柱形图!$A$3:$A$8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柱形图!$C$3:$C$8</c:f>
              <c:numCache>
                <c:formatCode>#,##0_ </c:formatCode>
                <c:ptCount val="6"/>
                <c:pt idx="0">
                  <c:v>28843</c:v>
                </c:pt>
                <c:pt idx="1">
                  <c:v>27767</c:v>
                </c:pt>
                <c:pt idx="2">
                  <c:v>26535</c:v>
                </c:pt>
                <c:pt idx="3">
                  <c:v>24732</c:v>
                </c:pt>
                <c:pt idx="4">
                  <c:v>23586</c:v>
                </c:pt>
                <c:pt idx="5">
                  <c:v>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59-4847-91EF-60C9752E8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3548368"/>
        <c:axId val="393548040"/>
      </c:barChart>
      <c:catAx>
        <c:axId val="3935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93548040"/>
        <c:crosses val="autoZero"/>
        <c:auto val="1"/>
        <c:lblAlgn val="ctr"/>
        <c:lblOffset val="100"/>
        <c:noMultiLvlLbl val="0"/>
      </c:catAx>
      <c:valAx>
        <c:axId val="393548040"/>
        <c:scaling>
          <c:orientation val="minMax"/>
          <c:max val="50000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9354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b="1"/>
              <a:t>企业不同区域销售业绩走势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95425732159967"/>
          <c:y val="0.22275429152566145"/>
          <c:w val="0.83680960165767371"/>
          <c:h val="0.5663441812347670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柱形图!$B$2</c:f>
              <c:strCache>
                <c:ptCount val="1"/>
                <c:pt idx="0">
                  <c:v>区域一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柱形图!$A$3:$A$8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柱形图!$B$3:$B$8</c:f>
              <c:numCache>
                <c:formatCode>#,##0_ </c:formatCode>
                <c:ptCount val="6"/>
                <c:pt idx="0">
                  <c:v>15341</c:v>
                </c:pt>
                <c:pt idx="1">
                  <c:v>16634</c:v>
                </c:pt>
                <c:pt idx="2">
                  <c:v>18545</c:v>
                </c:pt>
                <c:pt idx="3">
                  <c:v>19987</c:v>
                </c:pt>
                <c:pt idx="4">
                  <c:v>21867</c:v>
                </c:pt>
                <c:pt idx="5">
                  <c:v>22883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4-4B41-BAE9-D21137C66A19}"/>
            </c:ext>
          </c:extLst>
        </c:ser>
        <c:ser>
          <c:idx val="1"/>
          <c:order val="1"/>
          <c:tx>
            <c:strRef>
              <c:f>柱形图!$C$2</c:f>
              <c:strCache>
                <c:ptCount val="1"/>
                <c:pt idx="0">
                  <c:v>区域二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柱形图!$A$3:$A$8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柱形图!$C$3:$C$8</c:f>
              <c:numCache>
                <c:formatCode>#,##0_ </c:formatCode>
                <c:ptCount val="6"/>
                <c:pt idx="0">
                  <c:v>28843</c:v>
                </c:pt>
                <c:pt idx="1">
                  <c:v>27767</c:v>
                </c:pt>
                <c:pt idx="2">
                  <c:v>26535</c:v>
                </c:pt>
                <c:pt idx="3">
                  <c:v>24732</c:v>
                </c:pt>
                <c:pt idx="4">
                  <c:v>23586</c:v>
                </c:pt>
                <c:pt idx="5">
                  <c:v>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34-4B41-BAE9-D21137C66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3548368"/>
        <c:axId val="393548040"/>
      </c:barChart>
      <c:catAx>
        <c:axId val="3935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93548040"/>
        <c:crosses val="autoZero"/>
        <c:auto val="1"/>
        <c:lblAlgn val="ctr"/>
        <c:lblOffset val="100"/>
        <c:noMultiLvlLbl val="0"/>
      </c:catAx>
      <c:valAx>
        <c:axId val="39354804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9354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b="1"/>
              <a:t>企业不同区域销售业绩走势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95425732159967"/>
          <c:y val="0.22275429152566145"/>
          <c:w val="0.83680960165767371"/>
          <c:h val="0.5663441812347670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柱形图!$B$2</c:f>
              <c:strCache>
                <c:ptCount val="1"/>
                <c:pt idx="0">
                  <c:v>区域一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柱形图!$A$3:$A$8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柱形图!$B$3:$B$8</c:f>
              <c:numCache>
                <c:formatCode>#,##0_ </c:formatCode>
                <c:ptCount val="6"/>
                <c:pt idx="0">
                  <c:v>15341</c:v>
                </c:pt>
                <c:pt idx="1">
                  <c:v>16634</c:v>
                </c:pt>
                <c:pt idx="2">
                  <c:v>18545</c:v>
                </c:pt>
                <c:pt idx="3">
                  <c:v>19987</c:v>
                </c:pt>
                <c:pt idx="4">
                  <c:v>21867</c:v>
                </c:pt>
                <c:pt idx="5">
                  <c:v>22883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3-49F9-8B27-B9CBADCDD0AA}"/>
            </c:ext>
          </c:extLst>
        </c:ser>
        <c:ser>
          <c:idx val="1"/>
          <c:order val="1"/>
          <c:tx>
            <c:strRef>
              <c:f>柱形图!$C$2</c:f>
              <c:strCache>
                <c:ptCount val="1"/>
                <c:pt idx="0">
                  <c:v>区域二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柱形图!$A$3:$A$8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柱形图!$C$3:$C$8</c:f>
              <c:numCache>
                <c:formatCode>#,##0_ </c:formatCode>
                <c:ptCount val="6"/>
                <c:pt idx="0">
                  <c:v>28843</c:v>
                </c:pt>
                <c:pt idx="1">
                  <c:v>27767</c:v>
                </c:pt>
                <c:pt idx="2">
                  <c:v>26535</c:v>
                </c:pt>
                <c:pt idx="3">
                  <c:v>24732</c:v>
                </c:pt>
                <c:pt idx="4">
                  <c:v>23586</c:v>
                </c:pt>
                <c:pt idx="5">
                  <c:v>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D3-49F9-8B27-B9CBADCDD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393548368"/>
        <c:axId val="393548040"/>
        <c:axId val="0"/>
      </c:bar3DChart>
      <c:catAx>
        <c:axId val="3935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93548040"/>
        <c:crosses val="autoZero"/>
        <c:auto val="1"/>
        <c:lblAlgn val="ctr"/>
        <c:lblOffset val="100"/>
        <c:noMultiLvlLbl val="0"/>
      </c:catAx>
      <c:valAx>
        <c:axId val="393548040"/>
        <c:scaling>
          <c:orientation val="minMax"/>
          <c:max val="50000"/>
          <c:min val="0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9354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b="1"/>
              <a:t>企业不同区域销售业绩走势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95425732159967"/>
          <c:y val="0.22275429152566145"/>
          <c:w val="0.83680960165767371"/>
          <c:h val="0.56634418123476704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柱形图!$B$2</c:f>
              <c:strCache>
                <c:ptCount val="1"/>
                <c:pt idx="0">
                  <c:v>区域一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柱形图!$A$3:$A$8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柱形图!$B$3:$B$8</c:f>
              <c:numCache>
                <c:formatCode>#,##0_ </c:formatCode>
                <c:ptCount val="6"/>
                <c:pt idx="0">
                  <c:v>15341</c:v>
                </c:pt>
                <c:pt idx="1">
                  <c:v>16634</c:v>
                </c:pt>
                <c:pt idx="2">
                  <c:v>18545</c:v>
                </c:pt>
                <c:pt idx="3">
                  <c:v>19987</c:v>
                </c:pt>
                <c:pt idx="4">
                  <c:v>21867</c:v>
                </c:pt>
                <c:pt idx="5">
                  <c:v>22883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8-40D4-B153-36035402DAEC}"/>
            </c:ext>
          </c:extLst>
        </c:ser>
        <c:ser>
          <c:idx val="1"/>
          <c:order val="1"/>
          <c:tx>
            <c:strRef>
              <c:f>柱形图!$C$2</c:f>
              <c:strCache>
                <c:ptCount val="1"/>
                <c:pt idx="0">
                  <c:v>区域二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柱形图!$A$3:$A$8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柱形图!$C$3:$C$8</c:f>
              <c:numCache>
                <c:formatCode>#,##0_ </c:formatCode>
                <c:ptCount val="6"/>
                <c:pt idx="0">
                  <c:v>28843</c:v>
                </c:pt>
                <c:pt idx="1">
                  <c:v>27767</c:v>
                </c:pt>
                <c:pt idx="2">
                  <c:v>26535</c:v>
                </c:pt>
                <c:pt idx="3">
                  <c:v>24732</c:v>
                </c:pt>
                <c:pt idx="4">
                  <c:v>23586</c:v>
                </c:pt>
                <c:pt idx="5">
                  <c:v>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A8-40D4-B153-36035402D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393548368"/>
        <c:axId val="393548040"/>
        <c:axId val="0"/>
      </c:bar3DChart>
      <c:catAx>
        <c:axId val="3935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93548040"/>
        <c:crosses val="autoZero"/>
        <c:auto val="1"/>
        <c:lblAlgn val="ctr"/>
        <c:lblOffset val="100"/>
        <c:noMultiLvlLbl val="0"/>
      </c:catAx>
      <c:valAx>
        <c:axId val="393548040"/>
        <c:scaling>
          <c:orientation val="minMax"/>
          <c:max val="50000"/>
          <c:min val="0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9354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b="1"/>
              <a:t>企业不同区域销售业绩走势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95425732159967"/>
          <c:y val="0.22275429152566145"/>
          <c:w val="0.83680960165767371"/>
          <c:h val="0.56634418123476704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柱形图!$B$2</c:f>
              <c:strCache>
                <c:ptCount val="1"/>
                <c:pt idx="0">
                  <c:v>区域一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柱形图!$A$3:$A$8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柱形图!$B$3:$B$8</c:f>
              <c:numCache>
                <c:formatCode>#,##0_ </c:formatCode>
                <c:ptCount val="6"/>
                <c:pt idx="0">
                  <c:v>15341</c:v>
                </c:pt>
                <c:pt idx="1">
                  <c:v>16634</c:v>
                </c:pt>
                <c:pt idx="2">
                  <c:v>18545</c:v>
                </c:pt>
                <c:pt idx="3">
                  <c:v>19987</c:v>
                </c:pt>
                <c:pt idx="4">
                  <c:v>21867</c:v>
                </c:pt>
                <c:pt idx="5">
                  <c:v>22883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0-4B6F-98EB-F712934483B3}"/>
            </c:ext>
          </c:extLst>
        </c:ser>
        <c:ser>
          <c:idx val="1"/>
          <c:order val="1"/>
          <c:tx>
            <c:strRef>
              <c:f>柱形图!$C$2</c:f>
              <c:strCache>
                <c:ptCount val="1"/>
                <c:pt idx="0">
                  <c:v>区域二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柱形图!$A$3:$A$8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柱形图!$C$3:$C$8</c:f>
              <c:numCache>
                <c:formatCode>#,##0_ </c:formatCode>
                <c:ptCount val="6"/>
                <c:pt idx="0">
                  <c:v>28843</c:v>
                </c:pt>
                <c:pt idx="1">
                  <c:v>27767</c:v>
                </c:pt>
                <c:pt idx="2">
                  <c:v>26535</c:v>
                </c:pt>
                <c:pt idx="3">
                  <c:v>24732</c:v>
                </c:pt>
                <c:pt idx="4">
                  <c:v>23586</c:v>
                </c:pt>
                <c:pt idx="5">
                  <c:v>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F0-4B6F-98EB-F71293448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pyramid"/>
        <c:axId val="393548368"/>
        <c:axId val="393548040"/>
        <c:axId val="0"/>
      </c:bar3DChart>
      <c:catAx>
        <c:axId val="3935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93548040"/>
        <c:crosses val="autoZero"/>
        <c:auto val="1"/>
        <c:lblAlgn val="ctr"/>
        <c:lblOffset val="100"/>
        <c:noMultiLvlLbl val="0"/>
      </c:catAx>
      <c:valAx>
        <c:axId val="393548040"/>
        <c:scaling>
          <c:orientation val="minMax"/>
          <c:max val="1"/>
          <c:min val="0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9354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b="1"/>
              <a:t>企业不同区域销售业绩走势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view3D>
      <c:rotX val="15"/>
      <c:rotY val="3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95425732159967"/>
          <c:y val="0.22275429152566145"/>
          <c:w val="0.83680960165767371"/>
          <c:h val="0.56634418123476704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柱形图!$B$2</c:f>
              <c:strCache>
                <c:ptCount val="1"/>
                <c:pt idx="0">
                  <c:v>区域一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柱形图!$A$3:$A$8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柱形图!$B$3:$B$8</c:f>
              <c:numCache>
                <c:formatCode>#,##0_ </c:formatCode>
                <c:ptCount val="6"/>
                <c:pt idx="0">
                  <c:v>15341</c:v>
                </c:pt>
                <c:pt idx="1">
                  <c:v>16634</c:v>
                </c:pt>
                <c:pt idx="2">
                  <c:v>18545</c:v>
                </c:pt>
                <c:pt idx="3">
                  <c:v>19987</c:v>
                </c:pt>
                <c:pt idx="4">
                  <c:v>21867</c:v>
                </c:pt>
                <c:pt idx="5">
                  <c:v>22883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1-4679-91F0-EAC25F0DBA6B}"/>
            </c:ext>
          </c:extLst>
        </c:ser>
        <c:ser>
          <c:idx val="1"/>
          <c:order val="1"/>
          <c:tx>
            <c:strRef>
              <c:f>柱形图!$C$2</c:f>
              <c:strCache>
                <c:ptCount val="1"/>
                <c:pt idx="0">
                  <c:v>区域二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柱形图!$A$3:$A$8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柱形图!$C$3:$C$8</c:f>
              <c:numCache>
                <c:formatCode>#,##0_ </c:formatCode>
                <c:ptCount val="6"/>
                <c:pt idx="0">
                  <c:v>28843</c:v>
                </c:pt>
                <c:pt idx="1">
                  <c:v>27767</c:v>
                </c:pt>
                <c:pt idx="2">
                  <c:v>26535</c:v>
                </c:pt>
                <c:pt idx="3">
                  <c:v>24732</c:v>
                </c:pt>
                <c:pt idx="4">
                  <c:v>23586</c:v>
                </c:pt>
                <c:pt idx="5">
                  <c:v>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1-4679-91F0-EAC25F0DB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3548368"/>
        <c:axId val="393548040"/>
        <c:axId val="759164768"/>
      </c:bar3DChart>
      <c:catAx>
        <c:axId val="39354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93548040"/>
        <c:crosses val="autoZero"/>
        <c:auto val="1"/>
        <c:lblAlgn val="ctr"/>
        <c:lblOffset val="100"/>
        <c:noMultiLvlLbl val="0"/>
      </c:catAx>
      <c:valAx>
        <c:axId val="393548040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93548368"/>
        <c:crosses val="autoZero"/>
        <c:crossBetween val="between"/>
      </c:valAx>
      <c:serAx>
        <c:axId val="759164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9354804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sz="1400"/>
              <a:t>产品销量走势图</a:t>
            </a:r>
          </a:p>
        </c:rich>
      </c:tx>
      <c:layout>
        <c:manualLayout>
          <c:xMode val="edge"/>
          <c:yMode val="edge"/>
          <c:x val="0.34934271343121259"/>
          <c:y val="3.8950227830354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view3D>
      <c:rotX val="30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折线图!$B$2</c:f>
              <c:strCache>
                <c:ptCount val="1"/>
                <c:pt idx="0">
                  <c:v>2015年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折线图!$A$3:$A$14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折线图!$B$3:$B$14</c:f>
              <c:numCache>
                <c:formatCode>#,##0_ </c:formatCode>
                <c:ptCount val="12"/>
                <c:pt idx="0">
                  <c:v>150</c:v>
                </c:pt>
                <c:pt idx="1">
                  <c:v>156</c:v>
                </c:pt>
                <c:pt idx="2">
                  <c:v>168</c:v>
                </c:pt>
                <c:pt idx="3">
                  <c:v>175</c:v>
                </c:pt>
                <c:pt idx="4">
                  <c:v>188</c:v>
                </c:pt>
                <c:pt idx="5">
                  <c:v>191</c:v>
                </c:pt>
                <c:pt idx="6">
                  <c:v>200</c:v>
                </c:pt>
                <c:pt idx="7">
                  <c:v>206</c:v>
                </c:pt>
                <c:pt idx="8">
                  <c:v>213</c:v>
                </c:pt>
                <c:pt idx="9">
                  <c:v>224</c:v>
                </c:pt>
                <c:pt idx="10">
                  <c:v>235</c:v>
                </c:pt>
                <c:pt idx="11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4-4F78-87D6-3F31624A46FE}"/>
            </c:ext>
          </c:extLst>
        </c:ser>
        <c:ser>
          <c:idx val="1"/>
          <c:order val="1"/>
          <c:tx>
            <c:strRef>
              <c:f>折线图!$C$2</c:f>
              <c:strCache>
                <c:ptCount val="1"/>
                <c:pt idx="0">
                  <c:v>2016年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折线图!$A$3:$A$14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折线图!$C$3:$C$14</c:f>
              <c:numCache>
                <c:formatCode>#,##0_ </c:formatCode>
                <c:ptCount val="12"/>
                <c:pt idx="0">
                  <c:v>245</c:v>
                </c:pt>
                <c:pt idx="1">
                  <c:v>240</c:v>
                </c:pt>
                <c:pt idx="2">
                  <c:v>235</c:v>
                </c:pt>
                <c:pt idx="3">
                  <c:v>230</c:v>
                </c:pt>
                <c:pt idx="4">
                  <c:v>225</c:v>
                </c:pt>
                <c:pt idx="5">
                  <c:v>222</c:v>
                </c:pt>
                <c:pt idx="6">
                  <c:v>219</c:v>
                </c:pt>
                <c:pt idx="7">
                  <c:v>214</c:v>
                </c:pt>
                <c:pt idx="8">
                  <c:v>211</c:v>
                </c:pt>
                <c:pt idx="9">
                  <c:v>206</c:v>
                </c:pt>
                <c:pt idx="10">
                  <c:v>201</c:v>
                </c:pt>
                <c:pt idx="11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64-4F78-87D6-3F31624A46FE}"/>
            </c:ext>
          </c:extLst>
        </c:ser>
        <c:ser>
          <c:idx val="2"/>
          <c:order val="2"/>
          <c:tx>
            <c:strRef>
              <c:f>折线图!$D$2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折线图!$A$3:$A$14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折线图!$D$3:$D$14</c:f>
              <c:numCache>
                <c:formatCode>#,##0_ </c:formatCode>
                <c:ptCount val="12"/>
                <c:pt idx="0">
                  <c:v>220</c:v>
                </c:pt>
                <c:pt idx="1">
                  <c:v>216</c:v>
                </c:pt>
                <c:pt idx="2">
                  <c:v>211</c:v>
                </c:pt>
                <c:pt idx="3">
                  <c:v>207</c:v>
                </c:pt>
                <c:pt idx="4">
                  <c:v>204</c:v>
                </c:pt>
                <c:pt idx="5">
                  <c:v>196</c:v>
                </c:pt>
                <c:pt idx="6">
                  <c:v>214</c:v>
                </c:pt>
                <c:pt idx="7">
                  <c:v>231</c:v>
                </c:pt>
                <c:pt idx="8">
                  <c:v>246</c:v>
                </c:pt>
                <c:pt idx="9">
                  <c:v>262</c:v>
                </c:pt>
                <c:pt idx="10">
                  <c:v>277</c:v>
                </c:pt>
                <c:pt idx="11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64-4F78-87D6-3F31624A4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795192"/>
        <c:axId val="588795520"/>
        <c:axId val="553771280"/>
      </c:line3DChart>
      <c:catAx>
        <c:axId val="58879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88795520"/>
        <c:crosses val="autoZero"/>
        <c:auto val="1"/>
        <c:lblAlgn val="ctr"/>
        <c:lblOffset val="100"/>
        <c:noMultiLvlLbl val="0"/>
      </c:catAx>
      <c:valAx>
        <c:axId val="588795520"/>
        <c:scaling>
          <c:orientation val="minMax"/>
          <c:min val="145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88795192"/>
        <c:crosses val="autoZero"/>
        <c:crossBetween val="between"/>
      </c:valAx>
      <c:serAx>
        <c:axId val="5537712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88795520"/>
        <c:crosses val="autoZero"/>
      </c:ser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sz="1400"/>
              <a:t>产品销量走势图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折线图!$B$2</c:f>
              <c:strCache>
                <c:ptCount val="1"/>
                <c:pt idx="0">
                  <c:v>2015年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折线图!$A$3:$A$14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折线图!$B$3:$B$14</c:f>
              <c:numCache>
                <c:formatCode>#,##0_ </c:formatCode>
                <c:ptCount val="12"/>
                <c:pt idx="0">
                  <c:v>150</c:v>
                </c:pt>
                <c:pt idx="1">
                  <c:v>156</c:v>
                </c:pt>
                <c:pt idx="2">
                  <c:v>168</c:v>
                </c:pt>
                <c:pt idx="3">
                  <c:v>175</c:v>
                </c:pt>
                <c:pt idx="4">
                  <c:v>188</c:v>
                </c:pt>
                <c:pt idx="5">
                  <c:v>191</c:v>
                </c:pt>
                <c:pt idx="6">
                  <c:v>200</c:v>
                </c:pt>
                <c:pt idx="7">
                  <c:v>206</c:v>
                </c:pt>
                <c:pt idx="8">
                  <c:v>213</c:v>
                </c:pt>
                <c:pt idx="9">
                  <c:v>224</c:v>
                </c:pt>
                <c:pt idx="10">
                  <c:v>235</c:v>
                </c:pt>
                <c:pt idx="11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9-42E3-91CA-451F02BE46E2}"/>
            </c:ext>
          </c:extLst>
        </c:ser>
        <c:ser>
          <c:idx val="1"/>
          <c:order val="1"/>
          <c:tx>
            <c:strRef>
              <c:f>折线图!$C$2</c:f>
              <c:strCache>
                <c:ptCount val="1"/>
                <c:pt idx="0">
                  <c:v>2016年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折线图!$A$3:$A$14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折线图!$C$3:$C$14</c:f>
              <c:numCache>
                <c:formatCode>#,##0_ </c:formatCode>
                <c:ptCount val="12"/>
                <c:pt idx="0">
                  <c:v>245</c:v>
                </c:pt>
                <c:pt idx="1">
                  <c:v>240</c:v>
                </c:pt>
                <c:pt idx="2">
                  <c:v>235</c:v>
                </c:pt>
                <c:pt idx="3">
                  <c:v>230</c:v>
                </c:pt>
                <c:pt idx="4">
                  <c:v>225</c:v>
                </c:pt>
                <c:pt idx="5">
                  <c:v>222</c:v>
                </c:pt>
                <c:pt idx="6">
                  <c:v>219</c:v>
                </c:pt>
                <c:pt idx="7">
                  <c:v>214</c:v>
                </c:pt>
                <c:pt idx="8">
                  <c:v>211</c:v>
                </c:pt>
                <c:pt idx="9">
                  <c:v>206</c:v>
                </c:pt>
                <c:pt idx="10">
                  <c:v>201</c:v>
                </c:pt>
                <c:pt idx="11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89-42E3-91CA-451F02BE46E2}"/>
            </c:ext>
          </c:extLst>
        </c:ser>
        <c:ser>
          <c:idx val="2"/>
          <c:order val="2"/>
          <c:tx>
            <c:strRef>
              <c:f>折线图!$D$2</c:f>
              <c:strCache>
                <c:ptCount val="1"/>
                <c:pt idx="0">
                  <c:v>2017年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折线图!$A$3:$A$14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折线图!$D$3:$D$14</c:f>
              <c:numCache>
                <c:formatCode>#,##0_ </c:formatCode>
                <c:ptCount val="12"/>
                <c:pt idx="0">
                  <c:v>220</c:v>
                </c:pt>
                <c:pt idx="1">
                  <c:v>216</c:v>
                </c:pt>
                <c:pt idx="2">
                  <c:v>211</c:v>
                </c:pt>
                <c:pt idx="3">
                  <c:v>207</c:v>
                </c:pt>
                <c:pt idx="4">
                  <c:v>204</c:v>
                </c:pt>
                <c:pt idx="5">
                  <c:v>196</c:v>
                </c:pt>
                <c:pt idx="6">
                  <c:v>214</c:v>
                </c:pt>
                <c:pt idx="7">
                  <c:v>231</c:v>
                </c:pt>
                <c:pt idx="8">
                  <c:v>246</c:v>
                </c:pt>
                <c:pt idx="9">
                  <c:v>262</c:v>
                </c:pt>
                <c:pt idx="10">
                  <c:v>277</c:v>
                </c:pt>
                <c:pt idx="11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89-42E3-91CA-451F02BE46E2}"/>
            </c:ext>
          </c:extLst>
        </c:ser>
        <c:ser>
          <c:idx val="3"/>
          <c:order val="3"/>
          <c:tx>
            <c:strRef>
              <c:f>折线图!$E$2</c:f>
              <c:strCache>
                <c:ptCount val="1"/>
                <c:pt idx="0">
                  <c:v>2017年平均值</c:v>
                </c:pt>
              </c:strCache>
            </c:strRef>
          </c:tx>
          <c:spPr>
            <a:ln w="2222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折线图!$E$3:$E$14</c:f>
              <c:numCache>
                <c:formatCode>#,##0_ </c:formatCode>
                <c:ptCount val="12"/>
                <c:pt idx="0">
                  <c:v>231.58333333333334</c:v>
                </c:pt>
                <c:pt idx="1">
                  <c:v>231.58333333333334</c:v>
                </c:pt>
                <c:pt idx="2">
                  <c:v>231.58333333333334</c:v>
                </c:pt>
                <c:pt idx="3">
                  <c:v>231.58333333333334</c:v>
                </c:pt>
                <c:pt idx="4">
                  <c:v>231.58333333333334</c:v>
                </c:pt>
                <c:pt idx="5">
                  <c:v>231.58333333333334</c:v>
                </c:pt>
                <c:pt idx="6">
                  <c:v>231.58333333333334</c:v>
                </c:pt>
                <c:pt idx="7">
                  <c:v>231.58333333333334</c:v>
                </c:pt>
                <c:pt idx="8">
                  <c:v>231.58333333333334</c:v>
                </c:pt>
                <c:pt idx="9">
                  <c:v>231.58333333333334</c:v>
                </c:pt>
                <c:pt idx="10">
                  <c:v>231.58333333333334</c:v>
                </c:pt>
                <c:pt idx="11">
                  <c:v>231.58333333333334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89-42E3-91CA-451F02BE4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8795192"/>
        <c:axId val="588795520"/>
      </c:lineChart>
      <c:catAx>
        <c:axId val="58879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88795520"/>
        <c:crosses val="autoZero"/>
        <c:auto val="1"/>
        <c:lblAlgn val="ctr"/>
        <c:lblOffset val="100"/>
        <c:noMultiLvlLbl val="0"/>
      </c:catAx>
      <c:valAx>
        <c:axId val="588795520"/>
        <c:scaling>
          <c:orientation val="minMax"/>
          <c:min val="145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88795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sz="1400"/>
              <a:t>产品销量走势图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折线图!$B$2</c:f>
              <c:strCache>
                <c:ptCount val="1"/>
                <c:pt idx="0">
                  <c:v>2015年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折线图!$A$3:$A$14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折线图!$B$3:$B$14</c:f>
              <c:numCache>
                <c:formatCode>#,##0_ </c:formatCode>
                <c:ptCount val="12"/>
                <c:pt idx="0">
                  <c:v>150</c:v>
                </c:pt>
                <c:pt idx="1">
                  <c:v>156</c:v>
                </c:pt>
                <c:pt idx="2">
                  <c:v>168</c:v>
                </c:pt>
                <c:pt idx="3">
                  <c:v>175</c:v>
                </c:pt>
                <c:pt idx="4">
                  <c:v>188</c:v>
                </c:pt>
                <c:pt idx="5">
                  <c:v>191</c:v>
                </c:pt>
                <c:pt idx="6">
                  <c:v>200</c:v>
                </c:pt>
                <c:pt idx="7">
                  <c:v>206</c:v>
                </c:pt>
                <c:pt idx="8">
                  <c:v>213</c:v>
                </c:pt>
                <c:pt idx="9">
                  <c:v>224</c:v>
                </c:pt>
                <c:pt idx="10">
                  <c:v>235</c:v>
                </c:pt>
                <c:pt idx="11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00-4126-852D-EFA2FC5EFEB7}"/>
            </c:ext>
          </c:extLst>
        </c:ser>
        <c:ser>
          <c:idx val="1"/>
          <c:order val="1"/>
          <c:tx>
            <c:strRef>
              <c:f>折线图!$C$2</c:f>
              <c:strCache>
                <c:ptCount val="1"/>
                <c:pt idx="0">
                  <c:v>2016年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折线图!$A$3:$A$14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折线图!$C$3:$C$14</c:f>
              <c:numCache>
                <c:formatCode>#,##0_ </c:formatCode>
                <c:ptCount val="12"/>
                <c:pt idx="0">
                  <c:v>245</c:v>
                </c:pt>
                <c:pt idx="1">
                  <c:v>240</c:v>
                </c:pt>
                <c:pt idx="2">
                  <c:v>235</c:v>
                </c:pt>
                <c:pt idx="3">
                  <c:v>230</c:v>
                </c:pt>
                <c:pt idx="4">
                  <c:v>225</c:v>
                </c:pt>
                <c:pt idx="5">
                  <c:v>222</c:v>
                </c:pt>
                <c:pt idx="6">
                  <c:v>219</c:v>
                </c:pt>
                <c:pt idx="7">
                  <c:v>214</c:v>
                </c:pt>
                <c:pt idx="8">
                  <c:v>211</c:v>
                </c:pt>
                <c:pt idx="9">
                  <c:v>206</c:v>
                </c:pt>
                <c:pt idx="10">
                  <c:v>201</c:v>
                </c:pt>
                <c:pt idx="11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00-4126-852D-EFA2FC5EFEB7}"/>
            </c:ext>
          </c:extLst>
        </c:ser>
        <c:ser>
          <c:idx val="2"/>
          <c:order val="2"/>
          <c:tx>
            <c:strRef>
              <c:f>折线图!$D$2</c:f>
              <c:strCache>
                <c:ptCount val="1"/>
                <c:pt idx="0">
                  <c:v>2017年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折线图!$A$3:$A$14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折线图!$D$3:$D$14</c:f>
              <c:numCache>
                <c:formatCode>#,##0_ </c:formatCode>
                <c:ptCount val="12"/>
                <c:pt idx="0">
                  <c:v>220</c:v>
                </c:pt>
                <c:pt idx="1">
                  <c:v>216</c:v>
                </c:pt>
                <c:pt idx="2">
                  <c:v>211</c:v>
                </c:pt>
                <c:pt idx="3">
                  <c:v>207</c:v>
                </c:pt>
                <c:pt idx="4">
                  <c:v>204</c:v>
                </c:pt>
                <c:pt idx="5">
                  <c:v>196</c:v>
                </c:pt>
                <c:pt idx="6">
                  <c:v>214</c:v>
                </c:pt>
                <c:pt idx="7">
                  <c:v>231</c:v>
                </c:pt>
                <c:pt idx="8">
                  <c:v>246</c:v>
                </c:pt>
                <c:pt idx="9">
                  <c:v>262</c:v>
                </c:pt>
                <c:pt idx="10">
                  <c:v>277</c:v>
                </c:pt>
                <c:pt idx="11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00-4126-852D-EFA2FC5EF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8795192"/>
        <c:axId val="588795520"/>
      </c:lineChart>
      <c:catAx>
        <c:axId val="58879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88795520"/>
        <c:crosses val="autoZero"/>
        <c:auto val="1"/>
        <c:lblAlgn val="ctr"/>
        <c:lblOffset val="100"/>
        <c:noMultiLvlLbl val="0"/>
      </c:catAx>
      <c:valAx>
        <c:axId val="588795520"/>
        <c:scaling>
          <c:orientation val="minMax"/>
          <c:min val="145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88795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sz="1400"/>
              <a:t>产品销量走势图</a:t>
            </a:r>
          </a:p>
        </c:rich>
      </c:tx>
      <c:layout>
        <c:manualLayout>
          <c:xMode val="edge"/>
          <c:yMode val="edge"/>
          <c:x val="0.34934271343121259"/>
          <c:y val="3.8950227830354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折线图!$B$2</c:f>
              <c:strCache>
                <c:ptCount val="1"/>
                <c:pt idx="0">
                  <c:v>2015年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折线图!$A$3:$A$14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折线图!$B$3:$B$14</c:f>
              <c:numCache>
                <c:formatCode>#,##0_ </c:formatCode>
                <c:ptCount val="12"/>
                <c:pt idx="0">
                  <c:v>150</c:v>
                </c:pt>
                <c:pt idx="1">
                  <c:v>156</c:v>
                </c:pt>
                <c:pt idx="2">
                  <c:v>168</c:v>
                </c:pt>
                <c:pt idx="3">
                  <c:v>175</c:v>
                </c:pt>
                <c:pt idx="4">
                  <c:v>188</c:v>
                </c:pt>
                <c:pt idx="5">
                  <c:v>191</c:v>
                </c:pt>
                <c:pt idx="6">
                  <c:v>200</c:v>
                </c:pt>
                <c:pt idx="7">
                  <c:v>206</c:v>
                </c:pt>
                <c:pt idx="8">
                  <c:v>213</c:v>
                </c:pt>
                <c:pt idx="9">
                  <c:v>224</c:v>
                </c:pt>
                <c:pt idx="10">
                  <c:v>235</c:v>
                </c:pt>
                <c:pt idx="11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32-42F9-BF3F-BD7A375E4AF5}"/>
            </c:ext>
          </c:extLst>
        </c:ser>
        <c:ser>
          <c:idx val="1"/>
          <c:order val="1"/>
          <c:tx>
            <c:strRef>
              <c:f>折线图!$C$2</c:f>
              <c:strCache>
                <c:ptCount val="1"/>
                <c:pt idx="0">
                  <c:v>2016年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折线图!$A$3:$A$14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折线图!$C$3:$C$14</c:f>
              <c:numCache>
                <c:formatCode>#,##0_ </c:formatCode>
                <c:ptCount val="12"/>
                <c:pt idx="0">
                  <c:v>245</c:v>
                </c:pt>
                <c:pt idx="1">
                  <c:v>240</c:v>
                </c:pt>
                <c:pt idx="2">
                  <c:v>235</c:v>
                </c:pt>
                <c:pt idx="3">
                  <c:v>230</c:v>
                </c:pt>
                <c:pt idx="4">
                  <c:v>225</c:v>
                </c:pt>
                <c:pt idx="5">
                  <c:v>222</c:v>
                </c:pt>
                <c:pt idx="6">
                  <c:v>219</c:v>
                </c:pt>
                <c:pt idx="7">
                  <c:v>214</c:v>
                </c:pt>
                <c:pt idx="8">
                  <c:v>211</c:v>
                </c:pt>
                <c:pt idx="9">
                  <c:v>206</c:v>
                </c:pt>
                <c:pt idx="10">
                  <c:v>201</c:v>
                </c:pt>
                <c:pt idx="11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32-42F9-BF3F-BD7A375E4AF5}"/>
            </c:ext>
          </c:extLst>
        </c:ser>
        <c:ser>
          <c:idx val="2"/>
          <c:order val="2"/>
          <c:tx>
            <c:strRef>
              <c:f>折线图!$D$2</c:f>
              <c:strCache>
                <c:ptCount val="1"/>
                <c:pt idx="0">
                  <c:v>2017年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折线图!$A$3:$A$14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折线图!$D$3:$D$14</c:f>
              <c:numCache>
                <c:formatCode>#,##0_ </c:formatCode>
                <c:ptCount val="12"/>
                <c:pt idx="0">
                  <c:v>220</c:v>
                </c:pt>
                <c:pt idx="1">
                  <c:v>216</c:v>
                </c:pt>
                <c:pt idx="2">
                  <c:v>211</c:v>
                </c:pt>
                <c:pt idx="3">
                  <c:v>207</c:v>
                </c:pt>
                <c:pt idx="4">
                  <c:v>204</c:v>
                </c:pt>
                <c:pt idx="5">
                  <c:v>196</c:v>
                </c:pt>
                <c:pt idx="6">
                  <c:v>214</c:v>
                </c:pt>
                <c:pt idx="7">
                  <c:v>231</c:v>
                </c:pt>
                <c:pt idx="8">
                  <c:v>246</c:v>
                </c:pt>
                <c:pt idx="9">
                  <c:v>262</c:v>
                </c:pt>
                <c:pt idx="10">
                  <c:v>277</c:v>
                </c:pt>
                <c:pt idx="11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32-42F9-BF3F-BD7A375E4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795192"/>
        <c:axId val="588795520"/>
      </c:lineChart>
      <c:catAx>
        <c:axId val="58879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88795520"/>
        <c:crosses val="autoZero"/>
        <c:auto val="1"/>
        <c:lblAlgn val="ctr"/>
        <c:lblOffset val="100"/>
        <c:noMultiLvlLbl val="0"/>
      </c:catAx>
      <c:valAx>
        <c:axId val="588795520"/>
        <c:scaling>
          <c:orientation val="minMax"/>
          <c:min val="145"/>
        </c:scaling>
        <c:delete val="0"/>
        <c:axPos val="l"/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88795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'饼图-1'!$B$2</c:f>
              <c:strCache>
                <c:ptCount val="1"/>
                <c:pt idx="0">
                  <c:v>销售额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D1-4D7E-8677-A057A62465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D1-4D7E-8677-A057A62465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D1-4D7E-8677-A057A62465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D1-4D7E-8677-A057A62465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'饼图-1'!$A$3:$A$6</c:f>
              <c:strCache>
                <c:ptCount val="4"/>
                <c:pt idx="0">
                  <c:v>化妆品</c:v>
                </c:pt>
                <c:pt idx="1">
                  <c:v>日用品</c:v>
                </c:pt>
                <c:pt idx="2">
                  <c:v>饮料类</c:v>
                </c:pt>
                <c:pt idx="3">
                  <c:v>家电类</c:v>
                </c:pt>
              </c:strCache>
            </c:strRef>
          </c:cat>
          <c:val>
            <c:numRef>
              <c:f>'饼图-1'!$B$3:$B$6</c:f>
              <c:numCache>
                <c:formatCode>#,##0_ </c:formatCode>
                <c:ptCount val="4"/>
                <c:pt idx="0">
                  <c:v>81683</c:v>
                </c:pt>
                <c:pt idx="1">
                  <c:v>121171</c:v>
                </c:pt>
                <c:pt idx="2">
                  <c:v>62879</c:v>
                </c:pt>
                <c:pt idx="3">
                  <c:v>259311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D1-4D7E-8677-A057A6246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'饼图-1'!$B$2</c:f>
              <c:strCache>
                <c:ptCount val="1"/>
                <c:pt idx="0">
                  <c:v>销售额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74-4046-8D43-0C1B5B963C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74-4046-8D43-0C1B5B963C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74-4046-8D43-0C1B5B963C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74-4046-8D43-0C1B5B963C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'饼图-1'!$A$3:$A$6</c:f>
              <c:strCache>
                <c:ptCount val="4"/>
                <c:pt idx="0">
                  <c:v>化妆品</c:v>
                </c:pt>
                <c:pt idx="1">
                  <c:v>日用品</c:v>
                </c:pt>
                <c:pt idx="2">
                  <c:v>饮料类</c:v>
                </c:pt>
                <c:pt idx="3">
                  <c:v>家电类</c:v>
                </c:pt>
              </c:strCache>
            </c:strRef>
          </c:cat>
          <c:val>
            <c:numRef>
              <c:f>'饼图-1'!$B$3:$B$6</c:f>
              <c:numCache>
                <c:formatCode>#,##0_ </c:formatCode>
                <c:ptCount val="4"/>
                <c:pt idx="0">
                  <c:v>81683</c:v>
                </c:pt>
                <c:pt idx="1">
                  <c:v>121171</c:v>
                </c:pt>
                <c:pt idx="2">
                  <c:v>62879</c:v>
                </c:pt>
                <c:pt idx="3">
                  <c:v>259311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74-4046-8D43-0C1B5B963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'饼图-2'!$C$2</c:f>
              <c:strCache>
                <c:ptCount val="1"/>
                <c:pt idx="0">
                  <c:v>销售额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CD-45FD-824A-D78BA6B3450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CD-45FD-824A-D78BA6B3450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ECD-45FD-824A-D78BA6B3450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ECD-45FD-824A-D78BA6B3450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ECD-45FD-824A-D78BA6B3450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ECD-45FD-824A-D78BA6B3450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ECD-45FD-824A-D78BA6B3450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0ECD-45FD-824A-D78BA6B345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'饼图-2'!$A$3:$B$9</c:f>
              <c:multiLvlStrCache>
                <c:ptCount val="7"/>
                <c:lvl>
                  <c:pt idx="3">
                    <c:v>冰箱</c:v>
                  </c:pt>
                  <c:pt idx="4">
                    <c:v>彩电</c:v>
                  </c:pt>
                  <c:pt idx="5">
                    <c:v>洗衣机</c:v>
                  </c:pt>
                  <c:pt idx="6">
                    <c:v>空调</c:v>
                  </c:pt>
                </c:lvl>
                <c:lvl>
                  <c:pt idx="0">
                    <c:v>化妆品</c:v>
                  </c:pt>
                  <c:pt idx="1">
                    <c:v>日用品</c:v>
                  </c:pt>
                  <c:pt idx="2">
                    <c:v>饮料类</c:v>
                  </c:pt>
                  <c:pt idx="3">
                    <c:v>家电类</c:v>
                  </c:pt>
                </c:lvl>
              </c:multiLvlStrCache>
            </c:multiLvlStrRef>
          </c:cat>
          <c:val>
            <c:numRef>
              <c:f>'饼图-2'!$C$3:$C$9</c:f>
              <c:numCache>
                <c:formatCode>#,##0_ </c:formatCode>
                <c:ptCount val="7"/>
                <c:pt idx="0">
                  <c:v>81683</c:v>
                </c:pt>
                <c:pt idx="1">
                  <c:v>121171</c:v>
                </c:pt>
                <c:pt idx="2">
                  <c:v>62879</c:v>
                </c:pt>
                <c:pt idx="3">
                  <c:v>69307</c:v>
                </c:pt>
                <c:pt idx="4">
                  <c:v>36963</c:v>
                </c:pt>
                <c:pt idx="5">
                  <c:v>59289</c:v>
                </c:pt>
                <c:pt idx="6">
                  <c:v>93752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ECD-45FD-824A-D78BA6B34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4"/>
        <c:secondPieSize val="75"/>
        <c:serLines>
          <c:spPr>
            <a:ln w="9525">
              <a:solidFill>
                <a:schemeClr val="tx1">
                  <a:lumMod val="35000"/>
                  <a:lumOff val="65000"/>
                </a:schemeClr>
              </a:solidFill>
              <a:prstDash val="dash"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018933973162089E-2"/>
          <c:y val="0.83047288581107215"/>
          <c:w val="0.86217607200292956"/>
          <c:h val="0.141506103579187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'饼图-2'!$C$2</c:f>
              <c:strCache>
                <c:ptCount val="1"/>
                <c:pt idx="0">
                  <c:v>销售额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D0-4D65-B50E-C25BF026E0E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D0-4D65-B50E-C25BF026E0E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D0-4D65-B50E-C25BF026E0E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D0-4D65-B50E-C25BF026E0E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1D0-4D65-B50E-C25BF026E0E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1D0-4D65-B50E-C25BF026E0E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1D0-4D65-B50E-C25BF026E0E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01D0-4D65-B50E-C25BF026E0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'饼图-2'!$A$3:$B$9</c:f>
              <c:multiLvlStrCache>
                <c:ptCount val="7"/>
                <c:lvl>
                  <c:pt idx="3">
                    <c:v>冰箱</c:v>
                  </c:pt>
                  <c:pt idx="4">
                    <c:v>彩电</c:v>
                  </c:pt>
                  <c:pt idx="5">
                    <c:v>洗衣机</c:v>
                  </c:pt>
                  <c:pt idx="6">
                    <c:v>空调</c:v>
                  </c:pt>
                </c:lvl>
                <c:lvl>
                  <c:pt idx="0">
                    <c:v>化妆品</c:v>
                  </c:pt>
                  <c:pt idx="1">
                    <c:v>日用品</c:v>
                  </c:pt>
                  <c:pt idx="2">
                    <c:v>饮料类</c:v>
                  </c:pt>
                  <c:pt idx="3">
                    <c:v>家电类</c:v>
                  </c:pt>
                </c:lvl>
              </c:multiLvlStrCache>
            </c:multiLvlStrRef>
          </c:cat>
          <c:val>
            <c:numRef>
              <c:f>'饼图-2'!$C$3:$C$9</c:f>
              <c:numCache>
                <c:formatCode>#,##0_ </c:formatCode>
                <c:ptCount val="7"/>
                <c:pt idx="0">
                  <c:v>81683</c:v>
                </c:pt>
                <c:pt idx="1">
                  <c:v>121171</c:v>
                </c:pt>
                <c:pt idx="2">
                  <c:v>62879</c:v>
                </c:pt>
                <c:pt idx="3">
                  <c:v>69307</c:v>
                </c:pt>
                <c:pt idx="4">
                  <c:v>36963</c:v>
                </c:pt>
                <c:pt idx="5">
                  <c:v>59289</c:v>
                </c:pt>
                <c:pt idx="6">
                  <c:v>93752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1D0-4D65-B50E-C25BF026E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4"/>
        <c:secondPieSize val="75"/>
        <c:serLines>
          <c:spPr>
            <a:ln w="9525">
              <a:solidFill>
                <a:schemeClr val="tx1">
                  <a:lumMod val="35000"/>
                  <a:lumOff val="65000"/>
                </a:schemeClr>
              </a:solidFill>
              <a:prstDash val="dash"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018933973162089E-2"/>
          <c:y val="0.83047288581107215"/>
          <c:w val="0.85242630385487517"/>
          <c:h val="0.15270238095238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条形图!$C$2</c:f>
              <c:strCache>
                <c:ptCount val="1"/>
                <c:pt idx="0">
                  <c:v>GDP(万亿/美元)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条形图!$A$3:$B$12</c:f>
              <c:multiLvlStrCache>
                <c:ptCount val="10"/>
                <c:lvl>
                  <c:pt idx="0">
                    <c:v>美洲</c:v>
                  </c:pt>
                  <c:pt idx="2">
                    <c:v>亚洲</c:v>
                  </c:pt>
                  <c:pt idx="3">
                    <c:v>亚洲</c:v>
                  </c:pt>
                  <c:pt idx="4">
                    <c:v>欧洲</c:v>
                  </c:pt>
                  <c:pt idx="5">
                    <c:v>欧洲</c:v>
                  </c:pt>
                  <c:pt idx="6">
                    <c:v>亚洲</c:v>
                  </c:pt>
                  <c:pt idx="7">
                    <c:v>欧洲</c:v>
                  </c:pt>
                  <c:pt idx="8">
                    <c:v>美洲</c:v>
                  </c:pt>
                  <c:pt idx="9">
                    <c:v>欧洲</c:v>
                  </c:pt>
                </c:lvl>
                <c:lvl>
                  <c:pt idx="0">
                    <c:v>美国</c:v>
                  </c:pt>
                  <c:pt idx="1">
                    <c:v>欧盟地区</c:v>
                  </c:pt>
                  <c:pt idx="2">
                    <c:v>中国</c:v>
                  </c:pt>
                  <c:pt idx="3">
                    <c:v>日本</c:v>
                  </c:pt>
                  <c:pt idx="4">
                    <c:v>德国</c:v>
                  </c:pt>
                  <c:pt idx="5">
                    <c:v>英国</c:v>
                  </c:pt>
                  <c:pt idx="6">
                    <c:v>印度</c:v>
                  </c:pt>
                  <c:pt idx="7">
                    <c:v>法国</c:v>
                  </c:pt>
                  <c:pt idx="8">
                    <c:v>巴西</c:v>
                  </c:pt>
                  <c:pt idx="9">
                    <c:v>意大利</c:v>
                  </c:pt>
                </c:lvl>
              </c:multiLvlStrCache>
            </c:multiLvlStrRef>
          </c:cat>
          <c:val>
            <c:numRef>
              <c:f>条形图!$C$3:$C$12</c:f>
              <c:numCache>
                <c:formatCode>General</c:formatCode>
                <c:ptCount val="10"/>
                <c:pt idx="0">
                  <c:v>19.39</c:v>
                </c:pt>
                <c:pt idx="1">
                  <c:v>17.28</c:v>
                </c:pt>
                <c:pt idx="2">
                  <c:v>12.24</c:v>
                </c:pt>
                <c:pt idx="3">
                  <c:v>4.87</c:v>
                </c:pt>
                <c:pt idx="4">
                  <c:v>3.68</c:v>
                </c:pt>
                <c:pt idx="5">
                  <c:v>2.62</c:v>
                </c:pt>
                <c:pt idx="6">
                  <c:v>2.6</c:v>
                </c:pt>
                <c:pt idx="7">
                  <c:v>2.58</c:v>
                </c:pt>
                <c:pt idx="8">
                  <c:v>2.06</c:v>
                </c:pt>
                <c:pt idx="9">
                  <c:v>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D-44ED-B0E9-EF45F19E7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axId val="478634128"/>
        <c:axId val="478627896"/>
      </c:barChart>
      <c:catAx>
        <c:axId val="4786341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478627896"/>
        <c:crosses val="autoZero"/>
        <c:auto val="1"/>
        <c:lblAlgn val="ctr"/>
        <c:lblOffset val="100"/>
        <c:noMultiLvlLbl val="0"/>
      </c:catAx>
      <c:valAx>
        <c:axId val="4786278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47863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 sz="1400" b="1"/>
              <a:t>不同月份产品销售占比</a:t>
            </a:r>
            <a:endParaRPr lang="zh-C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'条形图-2'!$B$12</c:f>
              <c:strCache>
                <c:ptCount val="1"/>
                <c:pt idx="0">
                  <c:v>产品A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lt1"/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'条形图-2'!$A$13:$A$18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'条形图-2'!$B$13:$B$18</c:f>
              <c:numCache>
                <c:formatCode>0%</c:formatCode>
                <c:ptCount val="6"/>
                <c:pt idx="0">
                  <c:v>0.26315310118704272</c:v>
                </c:pt>
                <c:pt idx="1">
                  <c:v>0.21200934444668762</c:v>
                </c:pt>
                <c:pt idx="2">
                  <c:v>0.37702779353374927</c:v>
                </c:pt>
                <c:pt idx="3">
                  <c:v>0.41126403580378701</c:v>
                </c:pt>
                <c:pt idx="4">
                  <c:v>0.19747114472032576</c:v>
                </c:pt>
                <c:pt idx="5">
                  <c:v>0.36027194356531655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0-4A55-A766-73C892894882}"/>
            </c:ext>
          </c:extLst>
        </c:ser>
        <c:ser>
          <c:idx val="1"/>
          <c:order val="1"/>
          <c:tx>
            <c:strRef>
              <c:f>'条形图-2'!$C$12</c:f>
              <c:strCache>
                <c:ptCount val="1"/>
                <c:pt idx="0">
                  <c:v>产品B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lt1"/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'条形图-2'!$A$13:$A$18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'条形图-2'!$C$13:$C$18</c:f>
              <c:numCache>
                <c:formatCode>0%</c:formatCode>
                <c:ptCount val="6"/>
                <c:pt idx="0">
                  <c:v>0.37880627827195723</c:v>
                </c:pt>
                <c:pt idx="1">
                  <c:v>0.44927849719762736</c:v>
                </c:pt>
                <c:pt idx="2">
                  <c:v>0.31533371147664963</c:v>
                </c:pt>
                <c:pt idx="3">
                  <c:v>0.3713444116522146</c:v>
                </c:pt>
                <c:pt idx="4">
                  <c:v>0.56837400116339587</c:v>
                </c:pt>
                <c:pt idx="5">
                  <c:v>0.21357480046460578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0-4A55-A766-73C892894882}"/>
            </c:ext>
          </c:extLst>
        </c:ser>
        <c:ser>
          <c:idx val="2"/>
          <c:order val="2"/>
          <c:tx>
            <c:strRef>
              <c:f>'条形图-2'!$D$12</c:f>
              <c:strCache>
                <c:ptCount val="1"/>
                <c:pt idx="0">
                  <c:v>产品C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lt1"/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'条形图-2'!$A$13:$A$18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'条形图-2'!$D$13:$D$18</c:f>
              <c:numCache>
                <c:formatCode>0%</c:formatCode>
                <c:ptCount val="6"/>
                <c:pt idx="0">
                  <c:v>0.35804062054100005</c:v>
                </c:pt>
                <c:pt idx="1">
                  <c:v>0.33871215835568502</c:v>
                </c:pt>
                <c:pt idx="2">
                  <c:v>0.30763849498960105</c:v>
                </c:pt>
                <c:pt idx="3">
                  <c:v>0.21739155254399836</c:v>
                </c:pt>
                <c:pt idx="4">
                  <c:v>0.23415485411627837</c:v>
                </c:pt>
                <c:pt idx="5">
                  <c:v>0.42615325597007769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0-4A55-A766-73C8928948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6"/>
        <c:overlap val="100"/>
        <c:axId val="613386160"/>
        <c:axId val="612340328"/>
      </c:barChart>
      <c:catAx>
        <c:axId val="61338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612340328"/>
        <c:crosses val="autoZero"/>
        <c:auto val="1"/>
        <c:lblAlgn val="ctr"/>
        <c:lblOffset val="100"/>
        <c:noMultiLvlLbl val="0"/>
      </c:catAx>
      <c:valAx>
        <c:axId val="61234032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61338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 sz="1200" b="1"/>
              <a:t>企业</a:t>
            </a:r>
            <a:r>
              <a:rPr lang="zh-CN" altLang="zh-CN" sz="1260" b="1" i="0" u="none" strike="noStrike" baseline="0">
                <a:effectLst/>
              </a:rPr>
              <a:t>用户</a:t>
            </a:r>
            <a:r>
              <a:rPr lang="zh-CN" altLang="en-US" sz="1200" b="1"/>
              <a:t>不同性别的金字塔图</a:t>
            </a:r>
            <a:endParaRPr lang="zh-CN" sz="1200" b="1"/>
          </a:p>
        </c:rich>
      </c:tx>
      <c:layout>
        <c:manualLayout>
          <c:xMode val="edge"/>
          <c:yMode val="edge"/>
          <c:x val="0.24062943422465988"/>
          <c:y val="3.51648270508893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'条形图-3'!$B$11</c:f>
              <c:strCache>
                <c:ptCount val="1"/>
                <c:pt idx="0">
                  <c:v>男</c:v>
                </c:pt>
              </c:strCache>
            </c:strRef>
          </c:tx>
          <c:spPr>
            <a:solidFill>
              <a:srgbClr val="003366"/>
            </a:solidFill>
            <a:ln>
              <a:noFill/>
            </a:ln>
            <a:effectLst/>
          </c:spPr>
          <c:invertIfNegative val="0"/>
          <c:cat>
            <c:strRef>
              <c:f>'条形图-3'!$A$12:$A$17</c:f>
              <c:strCache>
                <c:ptCount val="6"/>
                <c:pt idx="0">
                  <c:v>&lt;21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&gt;60</c:v>
                </c:pt>
              </c:strCache>
            </c:strRef>
          </c:cat>
          <c:val>
            <c:numRef>
              <c:f>'条形图-3'!$B$12:$B$17</c:f>
              <c:numCache>
                <c:formatCode>General</c:formatCode>
                <c:ptCount val="6"/>
                <c:pt idx="0">
                  <c:v>-563</c:v>
                </c:pt>
                <c:pt idx="1">
                  <c:v>-782</c:v>
                </c:pt>
                <c:pt idx="2">
                  <c:v>-921</c:v>
                </c:pt>
                <c:pt idx="3">
                  <c:v>-692</c:v>
                </c:pt>
                <c:pt idx="4">
                  <c:v>-521</c:v>
                </c:pt>
                <c:pt idx="5">
                  <c:v>-253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5-4EE4-8A87-5D35CBC4B538}"/>
            </c:ext>
          </c:extLst>
        </c:ser>
        <c:ser>
          <c:idx val="1"/>
          <c:order val="1"/>
          <c:tx>
            <c:strRef>
              <c:f>'条形图-3'!$C$11</c:f>
              <c:strCache>
                <c:ptCount val="1"/>
                <c:pt idx="0">
                  <c:v>女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'条形图-3'!$A$12:$A$17</c:f>
              <c:strCache>
                <c:ptCount val="6"/>
                <c:pt idx="0">
                  <c:v>&lt;21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&gt;60</c:v>
                </c:pt>
              </c:strCache>
            </c:strRef>
          </c:cat>
          <c:val>
            <c:numRef>
              <c:f>'条形图-3'!$C$12:$C$17</c:f>
              <c:numCache>
                <c:formatCode>General</c:formatCode>
                <c:ptCount val="6"/>
                <c:pt idx="0">
                  <c:v>352</c:v>
                </c:pt>
                <c:pt idx="1">
                  <c:v>602</c:v>
                </c:pt>
                <c:pt idx="2">
                  <c:v>658</c:v>
                </c:pt>
                <c:pt idx="3">
                  <c:v>532</c:v>
                </c:pt>
                <c:pt idx="4">
                  <c:v>326</c:v>
                </c:pt>
                <c:pt idx="5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F5-4EE4-8A87-5D35CBC4B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528305296"/>
        <c:axId val="528302016"/>
      </c:barChart>
      <c:catAx>
        <c:axId val="528305296"/>
        <c:scaling>
          <c:orientation val="minMax"/>
        </c:scaling>
        <c:delete val="0"/>
        <c:axPos val="l"/>
        <c:numFmt formatCode="#,##0;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28302016"/>
        <c:crosses val="autoZero"/>
        <c:auto val="1"/>
        <c:lblAlgn val="ctr"/>
        <c:lblOffset val="100"/>
        <c:noMultiLvlLbl val="0"/>
      </c:catAx>
      <c:valAx>
        <c:axId val="52830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2830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zh-CN" sz="1200" b="1" i="0" baseline="0">
                <a:effectLst/>
              </a:rPr>
              <a:t>企业</a:t>
            </a:r>
            <a:r>
              <a:rPr lang="zh-CN" altLang="zh-CN" sz="1200" b="1" i="0" u="none" strike="noStrike" baseline="0">
                <a:effectLst/>
              </a:rPr>
              <a:t>用户</a:t>
            </a:r>
            <a:r>
              <a:rPr lang="zh-CN" altLang="zh-CN" sz="1200" b="1" i="0" baseline="0">
                <a:effectLst/>
              </a:rPr>
              <a:t>不同性别的金字塔图</a:t>
            </a:r>
            <a:endParaRPr lang="zh-CN" altLang="zh-CN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'条形图-3'!$B$20</c:f>
              <c:strCache>
                <c:ptCount val="1"/>
                <c:pt idx="0">
                  <c:v>辅助列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'条形图-3'!$A$21:$A$26</c:f>
              <c:strCache>
                <c:ptCount val="6"/>
                <c:pt idx="0">
                  <c:v>&lt;21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&gt;60</c:v>
                </c:pt>
              </c:strCache>
            </c:strRef>
          </c:cat>
          <c:val>
            <c:numRef>
              <c:f>'条形图-3'!$B$21:$B$26</c:f>
              <c:numCache>
                <c:formatCode>General</c:formatCode>
                <c:ptCount val="6"/>
                <c:pt idx="0">
                  <c:v>-300</c:v>
                </c:pt>
                <c:pt idx="1">
                  <c:v>-300</c:v>
                </c:pt>
                <c:pt idx="2">
                  <c:v>-300</c:v>
                </c:pt>
                <c:pt idx="3">
                  <c:v>-300</c:v>
                </c:pt>
                <c:pt idx="4">
                  <c:v>-300</c:v>
                </c:pt>
                <c:pt idx="5">
                  <c:v>-300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E-43D6-AEAF-41BA24B007D2}"/>
            </c:ext>
          </c:extLst>
        </c:ser>
        <c:ser>
          <c:idx val="1"/>
          <c:order val="1"/>
          <c:tx>
            <c:strRef>
              <c:f>'条形图-3'!$C$20</c:f>
              <c:strCache>
                <c:ptCount val="1"/>
                <c:pt idx="0">
                  <c:v>男</c:v>
                </c:pt>
              </c:strCache>
            </c:strRef>
          </c:tx>
          <c:spPr>
            <a:solidFill>
              <a:srgbClr val="003366"/>
            </a:solidFill>
            <a:ln>
              <a:noFill/>
            </a:ln>
            <a:effectLst/>
          </c:spPr>
          <c:invertIfNegative val="0"/>
          <c:dLbls>
            <c:numFmt formatCode="#,##0;#,##0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'条形图-3'!$A$21:$A$26</c:f>
              <c:strCache>
                <c:ptCount val="6"/>
                <c:pt idx="0">
                  <c:v>&lt;21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&gt;60</c:v>
                </c:pt>
              </c:strCache>
            </c:strRef>
          </c:cat>
          <c:val>
            <c:numRef>
              <c:f>'条形图-3'!$C$21:$C$26</c:f>
              <c:numCache>
                <c:formatCode>General</c:formatCode>
                <c:ptCount val="6"/>
                <c:pt idx="0">
                  <c:v>-563</c:v>
                </c:pt>
                <c:pt idx="1">
                  <c:v>-782</c:v>
                </c:pt>
                <c:pt idx="2">
                  <c:v>-921</c:v>
                </c:pt>
                <c:pt idx="3">
                  <c:v>-692</c:v>
                </c:pt>
                <c:pt idx="4">
                  <c:v>-521</c:v>
                </c:pt>
                <c:pt idx="5">
                  <c:v>-253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8E-43D6-AEAF-41BA24B007D2}"/>
            </c:ext>
          </c:extLst>
        </c:ser>
        <c:ser>
          <c:idx val="2"/>
          <c:order val="2"/>
          <c:tx>
            <c:strRef>
              <c:f>'条形图-3'!$D$20</c:f>
              <c:strCache>
                <c:ptCount val="1"/>
                <c:pt idx="0">
                  <c:v>女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'条形图-3'!$A$21:$A$26</c:f>
              <c:strCache>
                <c:ptCount val="6"/>
                <c:pt idx="0">
                  <c:v>&lt;21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&gt;60</c:v>
                </c:pt>
              </c:strCache>
            </c:strRef>
          </c:cat>
          <c:val>
            <c:numRef>
              <c:f>'条形图-3'!$D$21:$D$26</c:f>
              <c:numCache>
                <c:formatCode>General</c:formatCode>
                <c:ptCount val="6"/>
                <c:pt idx="0">
                  <c:v>352</c:v>
                </c:pt>
                <c:pt idx="1">
                  <c:v>602</c:v>
                </c:pt>
                <c:pt idx="2">
                  <c:v>658</c:v>
                </c:pt>
                <c:pt idx="3">
                  <c:v>532</c:v>
                </c:pt>
                <c:pt idx="4">
                  <c:v>326</c:v>
                </c:pt>
                <c:pt idx="5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8E-43D6-AEAF-41BA24B00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326609864"/>
        <c:axId val="326609536"/>
      </c:barChart>
      <c:catAx>
        <c:axId val="326609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26609536"/>
        <c:crosses val="autoZero"/>
        <c:auto val="1"/>
        <c:lblAlgn val="ctr"/>
        <c:lblOffset val="100"/>
        <c:noMultiLvlLbl val="0"/>
      </c:catAx>
      <c:valAx>
        <c:axId val="32660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326609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</c:legendEntry>
      <c:layout>
        <c:manualLayout>
          <c:xMode val="edge"/>
          <c:yMode val="edge"/>
          <c:x val="0.31468785301468249"/>
          <c:y val="0.87201756580022127"/>
          <c:w val="0.29501887453831244"/>
          <c:h val="9.608765917622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zh-CN" sz="1400" b="1" i="0" cap="all" baseline="0">
                <a:effectLst/>
              </a:rPr>
              <a:t>不同月份产品销售占比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面积图!$B$2</c:f>
              <c:strCache>
                <c:ptCount val="1"/>
                <c:pt idx="0">
                  <c:v>产品A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面积图!$A$3:$A$8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面积图!$B$3:$B$8</c:f>
              <c:numCache>
                <c:formatCode>#,##0_ </c:formatCode>
                <c:ptCount val="6"/>
                <c:pt idx="0">
                  <c:v>19124</c:v>
                </c:pt>
                <c:pt idx="1">
                  <c:v>33928</c:v>
                </c:pt>
                <c:pt idx="2">
                  <c:v>76696</c:v>
                </c:pt>
                <c:pt idx="3">
                  <c:v>60037</c:v>
                </c:pt>
                <c:pt idx="4">
                  <c:v>20156</c:v>
                </c:pt>
                <c:pt idx="5">
                  <c:v>56348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F-4460-8A88-59A4ABFDDFDE}"/>
            </c:ext>
          </c:extLst>
        </c:ser>
        <c:ser>
          <c:idx val="1"/>
          <c:order val="1"/>
          <c:tx>
            <c:strRef>
              <c:f>面积图!$C$2</c:f>
              <c:strCache>
                <c:ptCount val="1"/>
                <c:pt idx="0">
                  <c:v>产品B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面积图!$A$3:$A$8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面积图!$C$3:$C$8</c:f>
              <c:numCache>
                <c:formatCode>#,##0_ </c:formatCode>
                <c:ptCount val="6"/>
                <c:pt idx="0">
                  <c:v>15597</c:v>
                </c:pt>
                <c:pt idx="1">
                  <c:v>84970</c:v>
                </c:pt>
                <c:pt idx="2">
                  <c:v>64146</c:v>
                </c:pt>
                <c:pt idx="3">
                  <c:v>38265</c:v>
                </c:pt>
                <c:pt idx="4">
                  <c:v>84385</c:v>
                </c:pt>
                <c:pt idx="5">
                  <c:v>28632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F-4460-8A88-59A4ABFDDFDE}"/>
            </c:ext>
          </c:extLst>
        </c:ser>
        <c:ser>
          <c:idx val="2"/>
          <c:order val="2"/>
          <c:tx>
            <c:strRef>
              <c:f>面积图!$D$2</c:f>
              <c:strCache>
                <c:ptCount val="1"/>
                <c:pt idx="0">
                  <c:v>产品C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面积图!$A$3:$A$8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面积图!$D$3:$D$8</c:f>
              <c:numCache>
                <c:formatCode>#,##0_ </c:formatCode>
                <c:ptCount val="6"/>
                <c:pt idx="0">
                  <c:v>13104</c:v>
                </c:pt>
                <c:pt idx="1">
                  <c:v>50332</c:v>
                </c:pt>
                <c:pt idx="2">
                  <c:v>73959</c:v>
                </c:pt>
                <c:pt idx="3">
                  <c:v>27201</c:v>
                </c:pt>
                <c:pt idx="4">
                  <c:v>25494</c:v>
                </c:pt>
                <c:pt idx="5">
                  <c:v>47049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F-4460-8A88-59A4ABFDD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876536"/>
        <c:axId val="775876864"/>
      </c:areaChart>
      <c:catAx>
        <c:axId val="775876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775876864"/>
        <c:crosses val="autoZero"/>
        <c:auto val="1"/>
        <c:lblAlgn val="ctr"/>
        <c:lblOffset val="100"/>
        <c:noMultiLvlLbl val="0"/>
      </c:catAx>
      <c:valAx>
        <c:axId val="77587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775876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zh-CN" sz="1400" b="1" i="0" cap="all" baseline="0">
                <a:effectLst/>
              </a:rPr>
              <a:t>不同月份产品销售占比</a:t>
            </a:r>
            <a:endParaRPr lang="zh-CN" altLang="zh-C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面积图!$B$2</c:f>
              <c:strCache>
                <c:ptCount val="1"/>
                <c:pt idx="0">
                  <c:v>产品A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面积图!$A$3:$A$8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面积图!$B$3:$B$8</c:f>
              <c:numCache>
                <c:formatCode>#,##0_ </c:formatCode>
                <c:ptCount val="6"/>
                <c:pt idx="0">
                  <c:v>19124</c:v>
                </c:pt>
                <c:pt idx="1">
                  <c:v>33928</c:v>
                </c:pt>
                <c:pt idx="2">
                  <c:v>76696</c:v>
                </c:pt>
                <c:pt idx="3">
                  <c:v>60037</c:v>
                </c:pt>
                <c:pt idx="4">
                  <c:v>20156</c:v>
                </c:pt>
                <c:pt idx="5">
                  <c:v>56348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1-4D3F-B3B2-908F955CD090}"/>
            </c:ext>
          </c:extLst>
        </c:ser>
        <c:ser>
          <c:idx val="1"/>
          <c:order val="1"/>
          <c:tx>
            <c:strRef>
              <c:f>面积图!$C$2</c:f>
              <c:strCache>
                <c:ptCount val="1"/>
                <c:pt idx="0">
                  <c:v>产品B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面积图!$A$3:$A$8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面积图!$C$3:$C$8</c:f>
              <c:numCache>
                <c:formatCode>#,##0_ </c:formatCode>
                <c:ptCount val="6"/>
                <c:pt idx="0">
                  <c:v>15597</c:v>
                </c:pt>
                <c:pt idx="1">
                  <c:v>84970</c:v>
                </c:pt>
                <c:pt idx="2">
                  <c:v>64146</c:v>
                </c:pt>
                <c:pt idx="3">
                  <c:v>38265</c:v>
                </c:pt>
                <c:pt idx="4">
                  <c:v>84385</c:v>
                </c:pt>
                <c:pt idx="5">
                  <c:v>28632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71-4D3F-B3B2-908F955CD090}"/>
            </c:ext>
          </c:extLst>
        </c:ser>
        <c:ser>
          <c:idx val="2"/>
          <c:order val="2"/>
          <c:tx>
            <c:strRef>
              <c:f>面积图!$D$2</c:f>
              <c:strCache>
                <c:ptCount val="1"/>
                <c:pt idx="0">
                  <c:v>产品C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面积图!$A$3:$A$8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面积图!$D$3:$D$8</c:f>
              <c:numCache>
                <c:formatCode>#,##0_ </c:formatCode>
                <c:ptCount val="6"/>
                <c:pt idx="0">
                  <c:v>13104</c:v>
                </c:pt>
                <c:pt idx="1">
                  <c:v>50332</c:v>
                </c:pt>
                <c:pt idx="2">
                  <c:v>73959</c:v>
                </c:pt>
                <c:pt idx="3">
                  <c:v>27201</c:v>
                </c:pt>
                <c:pt idx="4">
                  <c:v>25494</c:v>
                </c:pt>
                <c:pt idx="5">
                  <c:v>47049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71-4D3F-B3B2-908F955CD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876536"/>
        <c:axId val="775876864"/>
        <c:axId val="810823416"/>
      </c:area3DChart>
      <c:catAx>
        <c:axId val="775876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775876864"/>
        <c:crosses val="autoZero"/>
        <c:auto val="1"/>
        <c:lblAlgn val="ctr"/>
        <c:lblOffset val="100"/>
        <c:noMultiLvlLbl val="0"/>
      </c:catAx>
      <c:valAx>
        <c:axId val="77587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775876536"/>
        <c:crosses val="autoZero"/>
        <c:crossBetween val="midCat"/>
      </c:valAx>
      <c:serAx>
        <c:axId val="8108234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77587686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254809822627284E-2"/>
          <c:y val="3.9800978015728933E-2"/>
          <c:w val="0.70065830756265191"/>
          <c:h val="0.87976486368521156"/>
        </c:manualLayout>
      </c:layout>
      <c:scatterChart>
        <c:scatterStyle val="lineMarker"/>
        <c:varyColors val="0"/>
        <c:ser>
          <c:idx val="0"/>
          <c:order val="0"/>
          <c:tx>
            <c:v>setosa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Lit>
              <c:formatCode>General</c:formatCode>
              <c:ptCount val="50"/>
              <c:pt idx="0">
                <c:v>5.0999999999999996</c:v>
              </c:pt>
              <c:pt idx="1">
                <c:v>4.9000000000000004</c:v>
              </c:pt>
              <c:pt idx="2">
                <c:v>4.7</c:v>
              </c:pt>
              <c:pt idx="3">
                <c:v>4.5999999999999996</c:v>
              </c:pt>
              <c:pt idx="4">
                <c:v>5</c:v>
              </c:pt>
              <c:pt idx="5">
                <c:v>5.4</c:v>
              </c:pt>
              <c:pt idx="6">
                <c:v>4.5999999999999996</c:v>
              </c:pt>
              <c:pt idx="7">
                <c:v>5</c:v>
              </c:pt>
              <c:pt idx="8">
                <c:v>4.4000000000000004</c:v>
              </c:pt>
              <c:pt idx="9">
                <c:v>4.9000000000000004</c:v>
              </c:pt>
              <c:pt idx="10">
                <c:v>5.4</c:v>
              </c:pt>
              <c:pt idx="11">
                <c:v>4.8</c:v>
              </c:pt>
              <c:pt idx="12">
                <c:v>4.8</c:v>
              </c:pt>
              <c:pt idx="13">
                <c:v>4.3</c:v>
              </c:pt>
              <c:pt idx="14">
                <c:v>5.8</c:v>
              </c:pt>
              <c:pt idx="15">
                <c:v>5.7</c:v>
              </c:pt>
              <c:pt idx="16">
                <c:v>5.4</c:v>
              </c:pt>
              <c:pt idx="17">
                <c:v>5.0999999999999996</c:v>
              </c:pt>
              <c:pt idx="18">
                <c:v>5.7</c:v>
              </c:pt>
              <c:pt idx="19">
                <c:v>5.0999999999999996</c:v>
              </c:pt>
              <c:pt idx="20">
                <c:v>5.4</c:v>
              </c:pt>
              <c:pt idx="21">
                <c:v>5.0999999999999996</c:v>
              </c:pt>
              <c:pt idx="22">
                <c:v>4.5999999999999996</c:v>
              </c:pt>
              <c:pt idx="23">
                <c:v>5.0999999999999996</c:v>
              </c:pt>
              <c:pt idx="24">
                <c:v>4.8</c:v>
              </c:pt>
              <c:pt idx="25">
                <c:v>5</c:v>
              </c:pt>
              <c:pt idx="26">
                <c:v>5</c:v>
              </c:pt>
              <c:pt idx="27">
                <c:v>5.2</c:v>
              </c:pt>
              <c:pt idx="28">
                <c:v>5.2</c:v>
              </c:pt>
              <c:pt idx="29">
                <c:v>4.7</c:v>
              </c:pt>
              <c:pt idx="30">
                <c:v>4.8</c:v>
              </c:pt>
              <c:pt idx="31">
                <c:v>5.4</c:v>
              </c:pt>
              <c:pt idx="32">
                <c:v>5.2</c:v>
              </c:pt>
              <c:pt idx="33">
                <c:v>5.5</c:v>
              </c:pt>
              <c:pt idx="34">
                <c:v>4.9000000000000004</c:v>
              </c:pt>
              <c:pt idx="35">
                <c:v>5</c:v>
              </c:pt>
              <c:pt idx="36">
                <c:v>5.5</c:v>
              </c:pt>
              <c:pt idx="37">
                <c:v>4.9000000000000004</c:v>
              </c:pt>
              <c:pt idx="38">
                <c:v>4.4000000000000004</c:v>
              </c:pt>
              <c:pt idx="39">
                <c:v>5.0999999999999996</c:v>
              </c:pt>
              <c:pt idx="40">
                <c:v>5</c:v>
              </c:pt>
              <c:pt idx="41">
                <c:v>4.5</c:v>
              </c:pt>
              <c:pt idx="42">
                <c:v>4.4000000000000004</c:v>
              </c:pt>
              <c:pt idx="43">
                <c:v>5</c:v>
              </c:pt>
              <c:pt idx="44">
                <c:v>5.0999999999999996</c:v>
              </c:pt>
              <c:pt idx="45">
                <c:v>4.8</c:v>
              </c:pt>
              <c:pt idx="46">
                <c:v>5.0999999999999996</c:v>
              </c:pt>
              <c:pt idx="47">
                <c:v>4.5999999999999996</c:v>
              </c:pt>
              <c:pt idx="48">
                <c:v>5.3</c:v>
              </c:pt>
              <c:pt idx="49">
                <c:v>5</c:v>
              </c:pt>
            </c:numLit>
          </c:xVal>
          <c:yVal>
            <c:numLit>
              <c:formatCode>General</c:formatCode>
              <c:ptCount val="50"/>
              <c:pt idx="0">
                <c:v>3.5</c:v>
              </c:pt>
              <c:pt idx="1">
                <c:v>3</c:v>
              </c:pt>
              <c:pt idx="2">
                <c:v>3.2</c:v>
              </c:pt>
              <c:pt idx="3">
                <c:v>3.1</c:v>
              </c:pt>
              <c:pt idx="4">
                <c:v>3.6</c:v>
              </c:pt>
              <c:pt idx="5">
                <c:v>3.9</c:v>
              </c:pt>
              <c:pt idx="6">
                <c:v>3.4</c:v>
              </c:pt>
              <c:pt idx="7">
                <c:v>3.4</c:v>
              </c:pt>
              <c:pt idx="8">
                <c:v>2.9</c:v>
              </c:pt>
              <c:pt idx="9">
                <c:v>3.1</c:v>
              </c:pt>
              <c:pt idx="10">
                <c:v>3.7</c:v>
              </c:pt>
              <c:pt idx="11">
                <c:v>3.4</c:v>
              </c:pt>
              <c:pt idx="12">
                <c:v>3</c:v>
              </c:pt>
              <c:pt idx="13">
                <c:v>3</c:v>
              </c:pt>
              <c:pt idx="14">
                <c:v>4</c:v>
              </c:pt>
              <c:pt idx="15">
                <c:v>4.4000000000000004</c:v>
              </c:pt>
              <c:pt idx="16">
                <c:v>3.9</c:v>
              </c:pt>
              <c:pt idx="17">
                <c:v>3.5</c:v>
              </c:pt>
              <c:pt idx="18">
                <c:v>3.8</c:v>
              </c:pt>
              <c:pt idx="19">
                <c:v>3.8</c:v>
              </c:pt>
              <c:pt idx="20">
                <c:v>3.4</c:v>
              </c:pt>
              <c:pt idx="21">
                <c:v>3.7</c:v>
              </c:pt>
              <c:pt idx="22">
                <c:v>3.6</c:v>
              </c:pt>
              <c:pt idx="23">
                <c:v>3.3</c:v>
              </c:pt>
              <c:pt idx="24">
                <c:v>3.4</c:v>
              </c:pt>
              <c:pt idx="25">
                <c:v>3</c:v>
              </c:pt>
              <c:pt idx="26">
                <c:v>3.4</c:v>
              </c:pt>
              <c:pt idx="27">
                <c:v>3.5</c:v>
              </c:pt>
              <c:pt idx="28">
                <c:v>3.4</c:v>
              </c:pt>
              <c:pt idx="29">
                <c:v>3.2</c:v>
              </c:pt>
              <c:pt idx="30">
                <c:v>3.1</c:v>
              </c:pt>
              <c:pt idx="31">
                <c:v>3.4</c:v>
              </c:pt>
              <c:pt idx="32">
                <c:v>4.0999999999999996</c:v>
              </c:pt>
              <c:pt idx="33">
                <c:v>4.2</c:v>
              </c:pt>
              <c:pt idx="34">
                <c:v>3.1</c:v>
              </c:pt>
              <c:pt idx="35">
                <c:v>3.2</c:v>
              </c:pt>
              <c:pt idx="36">
                <c:v>3.5</c:v>
              </c:pt>
              <c:pt idx="37">
                <c:v>3.6</c:v>
              </c:pt>
              <c:pt idx="38">
                <c:v>3</c:v>
              </c:pt>
              <c:pt idx="39">
                <c:v>3.4</c:v>
              </c:pt>
              <c:pt idx="40">
                <c:v>3.5</c:v>
              </c:pt>
              <c:pt idx="41">
                <c:v>2.2999999999999998</c:v>
              </c:pt>
              <c:pt idx="42">
                <c:v>3.2</c:v>
              </c:pt>
              <c:pt idx="43">
                <c:v>3.5</c:v>
              </c:pt>
              <c:pt idx="44">
                <c:v>3.8</c:v>
              </c:pt>
              <c:pt idx="45">
                <c:v>3</c:v>
              </c:pt>
              <c:pt idx="46">
                <c:v>3.8</c:v>
              </c:pt>
              <c:pt idx="47">
                <c:v>3.2</c:v>
              </c:pt>
              <c:pt idx="48">
                <c:v>3.7</c:v>
              </c:pt>
              <c:pt idx="49">
                <c:v>3.3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463-4A37-8F52-D8EAACB5909E}"/>
            </c:ext>
          </c:extLst>
        </c:ser>
        <c:ser>
          <c:idx val="1"/>
          <c:order val="1"/>
          <c:tx>
            <c:v>versicolor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BC1E24"/>
              </a:solidFill>
              <a:ln w="9525">
                <a:noFill/>
              </a:ln>
              <a:effectLst/>
            </c:spPr>
          </c:marker>
          <c:xVal>
            <c:numLit>
              <c:formatCode>General</c:formatCode>
              <c:ptCount val="50"/>
              <c:pt idx="0">
                <c:v>7</c:v>
              </c:pt>
              <c:pt idx="1">
                <c:v>6.4</c:v>
              </c:pt>
              <c:pt idx="2">
                <c:v>6.9</c:v>
              </c:pt>
              <c:pt idx="3">
                <c:v>5.5</c:v>
              </c:pt>
              <c:pt idx="4">
                <c:v>6.5</c:v>
              </c:pt>
              <c:pt idx="5">
                <c:v>5.7</c:v>
              </c:pt>
              <c:pt idx="6">
                <c:v>6.3</c:v>
              </c:pt>
              <c:pt idx="7">
                <c:v>4.9000000000000004</c:v>
              </c:pt>
              <c:pt idx="8">
                <c:v>6.6</c:v>
              </c:pt>
              <c:pt idx="9">
                <c:v>5.2</c:v>
              </c:pt>
              <c:pt idx="10">
                <c:v>5</c:v>
              </c:pt>
              <c:pt idx="11">
                <c:v>5.9</c:v>
              </c:pt>
              <c:pt idx="12">
                <c:v>6</c:v>
              </c:pt>
              <c:pt idx="13">
                <c:v>6.1</c:v>
              </c:pt>
              <c:pt idx="14">
                <c:v>5.6</c:v>
              </c:pt>
              <c:pt idx="15">
                <c:v>6.7</c:v>
              </c:pt>
              <c:pt idx="16">
                <c:v>5.6</c:v>
              </c:pt>
              <c:pt idx="17">
                <c:v>5.8</c:v>
              </c:pt>
              <c:pt idx="18">
                <c:v>6.2</c:v>
              </c:pt>
              <c:pt idx="19">
                <c:v>5.6</c:v>
              </c:pt>
              <c:pt idx="20">
                <c:v>5.9</c:v>
              </c:pt>
              <c:pt idx="21">
                <c:v>6.1</c:v>
              </c:pt>
              <c:pt idx="22">
                <c:v>6.3</c:v>
              </c:pt>
              <c:pt idx="23">
                <c:v>6.1</c:v>
              </c:pt>
              <c:pt idx="24">
                <c:v>6.4</c:v>
              </c:pt>
              <c:pt idx="25">
                <c:v>6.6</c:v>
              </c:pt>
              <c:pt idx="26">
                <c:v>6.8</c:v>
              </c:pt>
              <c:pt idx="27">
                <c:v>6.7</c:v>
              </c:pt>
              <c:pt idx="28">
                <c:v>6</c:v>
              </c:pt>
              <c:pt idx="29">
                <c:v>5.7</c:v>
              </c:pt>
              <c:pt idx="30">
                <c:v>5.5</c:v>
              </c:pt>
              <c:pt idx="31">
                <c:v>5.5</c:v>
              </c:pt>
              <c:pt idx="32">
                <c:v>5.8</c:v>
              </c:pt>
              <c:pt idx="33">
                <c:v>6</c:v>
              </c:pt>
              <c:pt idx="34">
                <c:v>5.4</c:v>
              </c:pt>
              <c:pt idx="35">
                <c:v>6</c:v>
              </c:pt>
              <c:pt idx="36">
                <c:v>6.7</c:v>
              </c:pt>
              <c:pt idx="37">
                <c:v>6.3</c:v>
              </c:pt>
              <c:pt idx="38">
                <c:v>5.6</c:v>
              </c:pt>
              <c:pt idx="39">
                <c:v>5.5</c:v>
              </c:pt>
              <c:pt idx="40">
                <c:v>5.5</c:v>
              </c:pt>
              <c:pt idx="41">
                <c:v>6.1</c:v>
              </c:pt>
              <c:pt idx="42">
                <c:v>5.8</c:v>
              </c:pt>
              <c:pt idx="43">
                <c:v>5</c:v>
              </c:pt>
              <c:pt idx="44">
                <c:v>5.6</c:v>
              </c:pt>
              <c:pt idx="45">
                <c:v>5.7</c:v>
              </c:pt>
              <c:pt idx="46">
                <c:v>5.7</c:v>
              </c:pt>
              <c:pt idx="47">
                <c:v>6.2</c:v>
              </c:pt>
              <c:pt idx="48">
                <c:v>5.0999999999999996</c:v>
              </c:pt>
              <c:pt idx="49">
                <c:v>5.7</c:v>
              </c:pt>
            </c:numLit>
          </c:xVal>
          <c:yVal>
            <c:numLit>
              <c:formatCode>General</c:formatCode>
              <c:ptCount val="50"/>
              <c:pt idx="0">
                <c:v>3.2</c:v>
              </c:pt>
              <c:pt idx="1">
                <c:v>3.2</c:v>
              </c:pt>
              <c:pt idx="2">
                <c:v>3.1</c:v>
              </c:pt>
              <c:pt idx="3">
                <c:v>2.2999999999999998</c:v>
              </c:pt>
              <c:pt idx="4">
                <c:v>2.8</c:v>
              </c:pt>
              <c:pt idx="5">
                <c:v>2.8</c:v>
              </c:pt>
              <c:pt idx="6">
                <c:v>3.3</c:v>
              </c:pt>
              <c:pt idx="7">
                <c:v>2.4</c:v>
              </c:pt>
              <c:pt idx="8">
                <c:v>2.9</c:v>
              </c:pt>
              <c:pt idx="9">
                <c:v>2.7</c:v>
              </c:pt>
              <c:pt idx="10">
                <c:v>2</c:v>
              </c:pt>
              <c:pt idx="11">
                <c:v>3</c:v>
              </c:pt>
              <c:pt idx="12">
                <c:v>2.2000000000000002</c:v>
              </c:pt>
              <c:pt idx="13">
                <c:v>2.9</c:v>
              </c:pt>
              <c:pt idx="14">
                <c:v>2.9</c:v>
              </c:pt>
              <c:pt idx="15">
                <c:v>3.1</c:v>
              </c:pt>
              <c:pt idx="16">
                <c:v>3</c:v>
              </c:pt>
              <c:pt idx="17">
                <c:v>2.7</c:v>
              </c:pt>
              <c:pt idx="18">
                <c:v>2.2000000000000002</c:v>
              </c:pt>
              <c:pt idx="19">
                <c:v>2.5</c:v>
              </c:pt>
              <c:pt idx="20">
                <c:v>3.2</c:v>
              </c:pt>
              <c:pt idx="21">
                <c:v>2.8</c:v>
              </c:pt>
              <c:pt idx="22">
                <c:v>2.5</c:v>
              </c:pt>
              <c:pt idx="23">
                <c:v>2.8</c:v>
              </c:pt>
              <c:pt idx="24">
                <c:v>2.9</c:v>
              </c:pt>
              <c:pt idx="25">
                <c:v>3</c:v>
              </c:pt>
              <c:pt idx="26">
                <c:v>2.8</c:v>
              </c:pt>
              <c:pt idx="27">
                <c:v>3</c:v>
              </c:pt>
              <c:pt idx="28">
                <c:v>2.9</c:v>
              </c:pt>
              <c:pt idx="29">
                <c:v>2.6</c:v>
              </c:pt>
              <c:pt idx="30">
                <c:v>2.4</c:v>
              </c:pt>
              <c:pt idx="31">
                <c:v>2.4</c:v>
              </c:pt>
              <c:pt idx="32">
                <c:v>2.7</c:v>
              </c:pt>
              <c:pt idx="33">
                <c:v>2.7</c:v>
              </c:pt>
              <c:pt idx="34">
                <c:v>3</c:v>
              </c:pt>
              <c:pt idx="35">
                <c:v>3.4</c:v>
              </c:pt>
              <c:pt idx="36">
                <c:v>3.1</c:v>
              </c:pt>
              <c:pt idx="37">
                <c:v>2.2999999999999998</c:v>
              </c:pt>
              <c:pt idx="38">
                <c:v>3</c:v>
              </c:pt>
              <c:pt idx="39">
                <c:v>2.5</c:v>
              </c:pt>
              <c:pt idx="40">
                <c:v>2.6</c:v>
              </c:pt>
              <c:pt idx="41">
                <c:v>3</c:v>
              </c:pt>
              <c:pt idx="42">
                <c:v>2.6</c:v>
              </c:pt>
              <c:pt idx="43">
                <c:v>2.2999999999999998</c:v>
              </c:pt>
              <c:pt idx="44">
                <c:v>2.7</c:v>
              </c:pt>
              <c:pt idx="45">
                <c:v>3</c:v>
              </c:pt>
              <c:pt idx="46">
                <c:v>2.9</c:v>
              </c:pt>
              <c:pt idx="47">
                <c:v>2.9</c:v>
              </c:pt>
              <c:pt idx="48">
                <c:v>2.5</c:v>
              </c:pt>
              <c:pt idx="49">
                <c:v>2.8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463-4A37-8F52-D8EAACB5909E}"/>
            </c:ext>
          </c:extLst>
        </c:ser>
        <c:ser>
          <c:idx val="2"/>
          <c:order val="2"/>
          <c:tx>
            <c:v>virginica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xVal>
            <c:numLit>
              <c:formatCode>General</c:formatCode>
              <c:ptCount val="50"/>
              <c:pt idx="0">
                <c:v>6.3</c:v>
              </c:pt>
              <c:pt idx="1">
                <c:v>5.8</c:v>
              </c:pt>
              <c:pt idx="2">
                <c:v>7.1</c:v>
              </c:pt>
              <c:pt idx="3">
                <c:v>6.3</c:v>
              </c:pt>
              <c:pt idx="4">
                <c:v>6.5</c:v>
              </c:pt>
              <c:pt idx="5">
                <c:v>7.6</c:v>
              </c:pt>
              <c:pt idx="6">
                <c:v>4.9000000000000004</c:v>
              </c:pt>
              <c:pt idx="7">
                <c:v>7.3</c:v>
              </c:pt>
              <c:pt idx="8">
                <c:v>6.7</c:v>
              </c:pt>
              <c:pt idx="9">
                <c:v>7.2</c:v>
              </c:pt>
              <c:pt idx="10">
                <c:v>6.5</c:v>
              </c:pt>
              <c:pt idx="11">
                <c:v>6.4</c:v>
              </c:pt>
              <c:pt idx="12">
                <c:v>6.8</c:v>
              </c:pt>
              <c:pt idx="13">
                <c:v>5.7</c:v>
              </c:pt>
              <c:pt idx="14">
                <c:v>5.8</c:v>
              </c:pt>
              <c:pt idx="15">
                <c:v>6.4</c:v>
              </c:pt>
              <c:pt idx="16">
                <c:v>6.5</c:v>
              </c:pt>
              <c:pt idx="17">
                <c:v>7.7</c:v>
              </c:pt>
              <c:pt idx="18">
                <c:v>7.7</c:v>
              </c:pt>
              <c:pt idx="19">
                <c:v>6</c:v>
              </c:pt>
              <c:pt idx="20">
                <c:v>6.9</c:v>
              </c:pt>
              <c:pt idx="21">
                <c:v>5.6</c:v>
              </c:pt>
              <c:pt idx="22">
                <c:v>7.7</c:v>
              </c:pt>
              <c:pt idx="23">
                <c:v>6.3</c:v>
              </c:pt>
              <c:pt idx="24">
                <c:v>6.7</c:v>
              </c:pt>
              <c:pt idx="25">
                <c:v>7.2</c:v>
              </c:pt>
              <c:pt idx="26">
                <c:v>6.2</c:v>
              </c:pt>
              <c:pt idx="27">
                <c:v>6.1</c:v>
              </c:pt>
              <c:pt idx="28">
                <c:v>6.4</c:v>
              </c:pt>
              <c:pt idx="29">
                <c:v>7.2</c:v>
              </c:pt>
              <c:pt idx="30">
                <c:v>7.4</c:v>
              </c:pt>
              <c:pt idx="31">
                <c:v>7.9</c:v>
              </c:pt>
              <c:pt idx="32">
                <c:v>6.4</c:v>
              </c:pt>
              <c:pt idx="33">
                <c:v>6.3</c:v>
              </c:pt>
              <c:pt idx="34">
                <c:v>6.1</c:v>
              </c:pt>
              <c:pt idx="35">
                <c:v>7.7</c:v>
              </c:pt>
              <c:pt idx="36">
                <c:v>6.3</c:v>
              </c:pt>
              <c:pt idx="37">
                <c:v>6.4</c:v>
              </c:pt>
              <c:pt idx="38">
                <c:v>6</c:v>
              </c:pt>
              <c:pt idx="39">
                <c:v>6.9</c:v>
              </c:pt>
              <c:pt idx="40">
                <c:v>6.7</c:v>
              </c:pt>
              <c:pt idx="41">
                <c:v>6.9</c:v>
              </c:pt>
              <c:pt idx="42">
                <c:v>5.8</c:v>
              </c:pt>
              <c:pt idx="43">
                <c:v>6.8</c:v>
              </c:pt>
              <c:pt idx="44">
                <c:v>6.7</c:v>
              </c:pt>
              <c:pt idx="45">
                <c:v>6.7</c:v>
              </c:pt>
              <c:pt idx="46">
                <c:v>6.3</c:v>
              </c:pt>
              <c:pt idx="47">
                <c:v>6.5</c:v>
              </c:pt>
              <c:pt idx="48">
                <c:v>6.2</c:v>
              </c:pt>
              <c:pt idx="49">
                <c:v>5.9</c:v>
              </c:pt>
            </c:numLit>
          </c:xVal>
          <c:yVal>
            <c:numLit>
              <c:formatCode>General</c:formatCode>
              <c:ptCount val="50"/>
              <c:pt idx="0">
                <c:v>3.3</c:v>
              </c:pt>
              <c:pt idx="1">
                <c:v>2.7</c:v>
              </c:pt>
              <c:pt idx="2">
                <c:v>3</c:v>
              </c:pt>
              <c:pt idx="3">
                <c:v>2.9</c:v>
              </c:pt>
              <c:pt idx="4">
                <c:v>3</c:v>
              </c:pt>
              <c:pt idx="5">
                <c:v>3</c:v>
              </c:pt>
              <c:pt idx="6">
                <c:v>2.5</c:v>
              </c:pt>
              <c:pt idx="7">
                <c:v>2.9</c:v>
              </c:pt>
              <c:pt idx="8">
                <c:v>2.5</c:v>
              </c:pt>
              <c:pt idx="9">
                <c:v>3.6</c:v>
              </c:pt>
              <c:pt idx="10">
                <c:v>3.2</c:v>
              </c:pt>
              <c:pt idx="11">
                <c:v>2.7</c:v>
              </c:pt>
              <c:pt idx="12">
                <c:v>3</c:v>
              </c:pt>
              <c:pt idx="13">
                <c:v>2.5</c:v>
              </c:pt>
              <c:pt idx="14">
                <c:v>2.8</c:v>
              </c:pt>
              <c:pt idx="15">
                <c:v>3.2</c:v>
              </c:pt>
              <c:pt idx="16">
                <c:v>3</c:v>
              </c:pt>
              <c:pt idx="17">
                <c:v>3.8</c:v>
              </c:pt>
              <c:pt idx="18">
                <c:v>2.6</c:v>
              </c:pt>
              <c:pt idx="19">
                <c:v>2.2000000000000002</c:v>
              </c:pt>
              <c:pt idx="20">
                <c:v>3.2</c:v>
              </c:pt>
              <c:pt idx="21">
                <c:v>2.8</c:v>
              </c:pt>
              <c:pt idx="22">
                <c:v>2.8</c:v>
              </c:pt>
              <c:pt idx="23">
                <c:v>2.7</c:v>
              </c:pt>
              <c:pt idx="24">
                <c:v>3.3</c:v>
              </c:pt>
              <c:pt idx="25">
                <c:v>3.2</c:v>
              </c:pt>
              <c:pt idx="26">
                <c:v>2.8</c:v>
              </c:pt>
              <c:pt idx="27">
                <c:v>3</c:v>
              </c:pt>
              <c:pt idx="28">
                <c:v>2.8</c:v>
              </c:pt>
              <c:pt idx="29">
                <c:v>3</c:v>
              </c:pt>
              <c:pt idx="30">
                <c:v>2.8</c:v>
              </c:pt>
              <c:pt idx="31">
                <c:v>3.8</c:v>
              </c:pt>
              <c:pt idx="32">
                <c:v>2.8</c:v>
              </c:pt>
              <c:pt idx="33">
                <c:v>2.8</c:v>
              </c:pt>
              <c:pt idx="34">
                <c:v>2.6</c:v>
              </c:pt>
              <c:pt idx="35">
                <c:v>3</c:v>
              </c:pt>
              <c:pt idx="36">
                <c:v>3.4</c:v>
              </c:pt>
              <c:pt idx="37">
                <c:v>3.1</c:v>
              </c:pt>
              <c:pt idx="38">
                <c:v>3</c:v>
              </c:pt>
              <c:pt idx="39">
                <c:v>3.1</c:v>
              </c:pt>
              <c:pt idx="40">
                <c:v>3.1</c:v>
              </c:pt>
              <c:pt idx="41">
                <c:v>3.1</c:v>
              </c:pt>
              <c:pt idx="42">
                <c:v>2.7</c:v>
              </c:pt>
              <c:pt idx="43">
                <c:v>3.2</c:v>
              </c:pt>
              <c:pt idx="44">
                <c:v>3.3</c:v>
              </c:pt>
              <c:pt idx="45">
                <c:v>3</c:v>
              </c:pt>
              <c:pt idx="46">
                <c:v>2.5</c:v>
              </c:pt>
              <c:pt idx="47">
                <c:v>3</c:v>
              </c:pt>
              <c:pt idx="48">
                <c:v>3.4</c:v>
              </c:pt>
              <c:pt idx="49">
                <c:v>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463-4A37-8F52-D8EAACB59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260608"/>
        <c:axId val="764259296"/>
      </c:scatterChart>
      <c:valAx>
        <c:axId val="764260608"/>
        <c:scaling>
          <c:orientation val="minMax"/>
          <c:min val="3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764259296"/>
        <c:crosses val="autoZero"/>
        <c:crossBetween val="midCat"/>
      </c:valAx>
      <c:valAx>
        <c:axId val="764259296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764260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 sz="1400" b="1"/>
              <a:t>广告费与销售额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3580927384076992E-2"/>
          <c:y val="0.16650481189851271"/>
          <c:w val="0.85853018372703416"/>
          <c:h val="0.71220691163604555"/>
        </c:manualLayout>
      </c:layout>
      <c:scatterChart>
        <c:scatterStyle val="lineMarker"/>
        <c:varyColors val="0"/>
        <c:ser>
          <c:idx val="0"/>
          <c:order val="0"/>
          <c:tx>
            <c:strRef>
              <c:f>XY散点图!$C$2</c:f>
              <c:strCache>
                <c:ptCount val="1"/>
                <c:pt idx="0">
                  <c:v>销售额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XY散点图!$B$3:$B$13</c:f>
              <c:numCache>
                <c:formatCode>General</c:formatCode>
                <c:ptCount val="1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</c:numCache>
            </c:numRef>
          </c:xVal>
          <c:yVal>
            <c:numRef>
              <c:f>XY散点图!$C$3:$C$13</c:f>
              <c:numCache>
                <c:formatCode>General</c:formatCode>
                <c:ptCount val="11"/>
                <c:pt idx="0">
                  <c:v>110</c:v>
                </c:pt>
                <c:pt idx="1">
                  <c:v>300</c:v>
                </c:pt>
                <c:pt idx="2">
                  <c:v>588</c:v>
                </c:pt>
                <c:pt idx="3">
                  <c:v>776</c:v>
                </c:pt>
                <c:pt idx="4">
                  <c:v>890</c:v>
                </c:pt>
                <c:pt idx="5">
                  <c:v>924</c:v>
                </c:pt>
                <c:pt idx="6">
                  <c:v>784</c:v>
                </c:pt>
                <c:pt idx="7">
                  <c:v>1432</c:v>
                </c:pt>
                <c:pt idx="8">
                  <c:v>1305</c:v>
                </c:pt>
                <c:pt idx="9">
                  <c:v>1610</c:v>
                </c:pt>
                <c:pt idx="10">
                  <c:v>1936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E7-4A9C-B986-1A669CD26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528664"/>
        <c:axId val="578528992"/>
      </c:scatterChart>
      <c:valAx>
        <c:axId val="578528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78528992"/>
        <c:crosses val="autoZero"/>
        <c:crossBetween val="midCat"/>
      </c:valAx>
      <c:valAx>
        <c:axId val="578528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78528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 sz="1400" b="1"/>
              <a:t>气泡图</a:t>
            </a:r>
            <a:endParaRPr lang="zh-C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1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7E-4894-B9EA-A55072BF38B7}"/>
              </c:ext>
            </c:extLst>
          </c:dPt>
          <c:dPt>
            <c:idx val="1"/>
            <c:invertIfNegative val="0"/>
            <c:bubble3D val="1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27E-4894-B9EA-A55072BF38B7}"/>
              </c:ext>
            </c:extLst>
          </c:dPt>
          <c:dPt>
            <c:idx val="2"/>
            <c:invertIfNegative val="0"/>
            <c:bubble3D val="1"/>
            <c:spPr>
              <a:solidFill>
                <a:srgbClr val="0033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27E-4894-B9EA-A55072BF38B7}"/>
              </c:ext>
            </c:extLst>
          </c:dPt>
          <c:dPt>
            <c:idx val="3"/>
            <c:invertIfNegative val="0"/>
            <c:bubble3D val="1"/>
            <c:spPr>
              <a:solidFill>
                <a:srgbClr val="0033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27E-4894-B9EA-A55072BF38B7}"/>
              </c:ext>
            </c:extLst>
          </c:dPt>
          <c:dPt>
            <c:idx val="4"/>
            <c:invertIfNegative val="0"/>
            <c:bubble3D val="1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27E-4894-B9EA-A55072BF38B7}"/>
              </c:ext>
            </c:extLst>
          </c:dPt>
          <c:dPt>
            <c:idx val="5"/>
            <c:invertIfNegative val="0"/>
            <c:bubble3D val="1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27E-4894-B9EA-A55072BF38B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32401F9-B818-4FE5-89A5-A34E28853DE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27E-4894-B9EA-A55072BF38B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BB21F69-68D9-429D-AA2D-E551429969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27E-4894-B9EA-A55072BF38B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A823D96-5970-4EEB-A16B-AA4DDEDB72E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27E-4894-B9EA-A55072BF38B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A809652-D53A-47E3-93A8-5149C60F886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27E-4894-B9EA-A55072BF38B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779521A-DFB4-4ACB-AD78-8D83034EC4D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27E-4894-B9EA-A55072BF38B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4233208-14D9-4EBA-A5EA-F0C30858A1D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27E-4894-B9EA-A55072BF38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'XY散点图-气泡图'!$B$3:$B$8</c:f>
              <c:numCache>
                <c:formatCode>0%</c:formatCode>
                <c:ptCount val="6"/>
                <c:pt idx="0">
                  <c:v>0.6</c:v>
                </c:pt>
                <c:pt idx="1">
                  <c:v>0.23</c:v>
                </c:pt>
                <c:pt idx="2">
                  <c:v>0.8</c:v>
                </c:pt>
                <c:pt idx="3">
                  <c:v>0.34</c:v>
                </c:pt>
                <c:pt idx="4">
                  <c:v>0.75</c:v>
                </c:pt>
                <c:pt idx="5">
                  <c:v>0.77</c:v>
                </c:pt>
              </c:numCache>
            </c:numRef>
          </c:xVal>
          <c:yVal>
            <c:numRef>
              <c:f>'XY散点图-气泡图'!$C$3:$C$8</c:f>
              <c:numCache>
                <c:formatCode>0%</c:formatCode>
                <c:ptCount val="6"/>
                <c:pt idx="0">
                  <c:v>0.77</c:v>
                </c:pt>
                <c:pt idx="1">
                  <c:v>0.89</c:v>
                </c:pt>
                <c:pt idx="2">
                  <c:v>0.31</c:v>
                </c:pt>
                <c:pt idx="3">
                  <c:v>0.34</c:v>
                </c:pt>
                <c:pt idx="4">
                  <c:v>0.99</c:v>
                </c:pt>
                <c:pt idx="5">
                  <c:v>0.69</c:v>
                </c:pt>
              </c:numCache>
            </c:numRef>
          </c:yVal>
          <c:bubbleSize>
            <c:numRef>
              <c:f>'XY散点图-气泡图'!$D$3:$D$8</c:f>
              <c:numCache>
                <c:formatCode>General</c:formatCode>
                <c:ptCount val="6"/>
                <c:pt idx="0">
                  <c:v>44</c:v>
                </c:pt>
                <c:pt idx="1">
                  <c:v>63</c:v>
                </c:pt>
                <c:pt idx="2">
                  <c:v>94</c:v>
                </c:pt>
                <c:pt idx="3">
                  <c:v>51</c:v>
                </c:pt>
                <c:pt idx="4">
                  <c:v>87</c:v>
                </c:pt>
                <c:pt idx="5">
                  <c:v>67</c:v>
                </c:pt>
              </c:numCache>
            </c:numRef>
          </c:bubbleSize>
          <c:bubble3D val="1"/>
          <c:extLst>
            <c:ext xmlns:c15="http://schemas.microsoft.com/office/drawing/2012/chart" uri="{02D57815-91ED-43cb-92C2-25804820EDAC}">
              <c15:datalabelsRange>
                <c15:f>'XY散点图-气泡图'!$A$3:$A$8</c15:f>
                <c15:dlblRangeCache>
                  <c:ptCount val="6"/>
                  <c:pt idx="0">
                    <c:v>衣服</c:v>
                  </c:pt>
                  <c:pt idx="1">
                    <c:v>裤子</c:v>
                  </c:pt>
                  <c:pt idx="2">
                    <c:v>鞋子</c:v>
                  </c:pt>
                  <c:pt idx="3">
                    <c:v>背包</c:v>
                  </c:pt>
                  <c:pt idx="4">
                    <c:v>球类</c:v>
                  </c:pt>
                  <c:pt idx="5">
                    <c:v>袜子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327E-4894-B9EA-A55072BF38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913068544"/>
        <c:axId val="913068872"/>
      </c:bubbleChart>
      <c:valAx>
        <c:axId val="91306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'XY散点图-气泡图'!$B$2</c:f>
              <c:strCache>
                <c:ptCount val="1"/>
                <c:pt idx="0">
                  <c:v>达成率</c:v>
                </c:pt>
              </c:strCache>
            </c:strRef>
          </c:tx>
          <c:layout>
            <c:manualLayout>
              <c:xMode val="edge"/>
              <c:yMode val="edge"/>
              <c:x val="0.46478102288555784"/>
              <c:y val="0.88595545977011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宋体" panose="02010600030101010101" pitchFamily="2" charset="-122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913068872"/>
        <c:crosses val="autoZero"/>
        <c:crossBetween val="midCat"/>
      </c:valAx>
      <c:valAx>
        <c:axId val="91306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'XY散点图-气泡图'!$C$2</c:f>
              <c:strCache>
                <c:ptCount val="1"/>
                <c:pt idx="0">
                  <c:v>利润率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宋体" panose="02010600030101010101" pitchFamily="2" charset="-122"/>
                  <a:ea typeface="宋体" panose="02010600030101010101" pitchFamily="2" charset="-122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91306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盘高</a:t>
            </a:r>
            <a:r>
              <a:rPr lang="en-US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—</a:t>
            </a:r>
            <a:r>
              <a:rPr lang="zh-CN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盘低</a:t>
            </a:r>
            <a:r>
              <a:rPr lang="en-US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—</a:t>
            </a:r>
            <a:r>
              <a:rPr lang="zh-CN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收盘图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5905709876543209"/>
          <c:y val="0.24415777777777781"/>
          <c:w val="0.79782561728395063"/>
          <c:h val="0.46256555555555556"/>
        </c:manualLayout>
      </c:layout>
      <c:stockChart>
        <c:ser>
          <c:idx val="0"/>
          <c:order val="0"/>
          <c:tx>
            <c:strRef>
              <c:f>股价图!$D$2</c:f>
              <c:strCache>
                <c:ptCount val="1"/>
                <c:pt idx="0">
                  <c:v>盘高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股价图!$A$3:$A$8</c:f>
              <c:numCache>
                <c:formatCode>m/d;@</c:formatCode>
                <c:ptCount val="6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</c:numCache>
            </c:numRef>
          </c:cat>
          <c:val>
            <c:numRef>
              <c:f>股价图!$D$3:$D$8</c:f>
              <c:numCache>
                <c:formatCode>0.00_ </c:formatCode>
                <c:ptCount val="6"/>
                <c:pt idx="0">
                  <c:v>9.9</c:v>
                </c:pt>
                <c:pt idx="1">
                  <c:v>9.6999999999999993</c:v>
                </c:pt>
                <c:pt idx="2">
                  <c:v>9.5299999999999994</c:v>
                </c:pt>
                <c:pt idx="3">
                  <c:v>9.5299999999999994</c:v>
                </c:pt>
                <c:pt idx="4">
                  <c:v>9.84</c:v>
                </c:pt>
                <c:pt idx="5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30-42E9-A4F1-0CA0620986FB}"/>
            </c:ext>
          </c:extLst>
        </c:ser>
        <c:ser>
          <c:idx val="1"/>
          <c:order val="1"/>
          <c:tx>
            <c:strRef>
              <c:f>股价图!$E$2</c:f>
              <c:strCache>
                <c:ptCount val="1"/>
                <c:pt idx="0">
                  <c:v>盘低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股价图!$A$3:$A$8</c:f>
              <c:numCache>
                <c:formatCode>m/d;@</c:formatCode>
                <c:ptCount val="6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</c:numCache>
            </c:numRef>
          </c:cat>
          <c:val>
            <c:numRef>
              <c:f>股价图!$E$3:$E$8</c:f>
              <c:numCache>
                <c:formatCode>0.00_ </c:formatCode>
                <c:ptCount val="6"/>
                <c:pt idx="0">
                  <c:v>10.29</c:v>
                </c:pt>
                <c:pt idx="1">
                  <c:v>9.93</c:v>
                </c:pt>
                <c:pt idx="2">
                  <c:v>9.77</c:v>
                </c:pt>
                <c:pt idx="3">
                  <c:v>9.68</c:v>
                </c:pt>
                <c:pt idx="4">
                  <c:v>9.86</c:v>
                </c:pt>
                <c:pt idx="5">
                  <c:v>10.23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30-42E9-A4F1-0CA0620986FB}"/>
            </c:ext>
          </c:extLst>
        </c:ser>
        <c:ser>
          <c:idx val="2"/>
          <c:order val="2"/>
          <c:tx>
            <c:strRef>
              <c:f>股价图!$F$2</c:f>
              <c:strCache>
                <c:ptCount val="1"/>
                <c:pt idx="0">
                  <c:v>收盘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FFC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股价图!$A$3:$A$8</c:f>
              <c:numCache>
                <c:formatCode>m/d;@</c:formatCode>
                <c:ptCount val="6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</c:numCache>
            </c:numRef>
          </c:cat>
          <c:val>
            <c:numRef>
              <c:f>股价图!$F$3:$F$8</c:f>
              <c:numCache>
                <c:formatCode>0.00_ </c:formatCode>
                <c:ptCount val="6"/>
                <c:pt idx="0">
                  <c:v>9.8699999999999992</c:v>
                </c:pt>
                <c:pt idx="1">
                  <c:v>9.44</c:v>
                </c:pt>
                <c:pt idx="2">
                  <c:v>9.52</c:v>
                </c:pt>
                <c:pt idx="3">
                  <c:v>9.4499999999999993</c:v>
                </c:pt>
                <c:pt idx="4">
                  <c:v>9.5</c:v>
                </c:pt>
                <c:pt idx="5">
                  <c:v>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30-42E9-A4F1-0CA062098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551274168"/>
        <c:axId val="551255472"/>
      </c:stockChart>
      <c:dateAx>
        <c:axId val="551274168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51255472"/>
        <c:crosses val="autoZero"/>
        <c:auto val="1"/>
        <c:lblOffset val="100"/>
        <c:baseTimeUnit val="days"/>
      </c:dateAx>
      <c:valAx>
        <c:axId val="55125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51274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开盘</a:t>
            </a:r>
            <a:r>
              <a:rPr lang="en-US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—</a:t>
            </a:r>
            <a:r>
              <a:rPr lang="zh-CN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盘高</a:t>
            </a:r>
            <a:r>
              <a:rPr lang="en-US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—</a:t>
            </a:r>
            <a:r>
              <a:rPr lang="zh-CN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盘低</a:t>
            </a:r>
            <a:r>
              <a:rPr lang="en-US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—</a:t>
            </a:r>
            <a:r>
              <a:rPr lang="zh-CN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收盘图</a:t>
            </a:r>
          </a:p>
        </c:rich>
      </c:tx>
      <c:layout>
        <c:manualLayout>
          <c:xMode val="edge"/>
          <c:yMode val="edge"/>
          <c:x val="0.21001296296296296"/>
          <c:y val="4.71349999999999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5905709876543209"/>
          <c:y val="0.25121333333333334"/>
          <c:w val="0.79782561728395063"/>
          <c:h val="0.47674722222222221"/>
        </c:manualLayout>
      </c:layout>
      <c:stockChart>
        <c:ser>
          <c:idx val="0"/>
          <c:order val="0"/>
          <c:tx>
            <c:strRef>
              <c:f>股价图!$C$2</c:f>
              <c:strCache>
                <c:ptCount val="1"/>
                <c:pt idx="0">
                  <c:v>开盘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股价图!$A$3:$A$8</c:f>
              <c:numCache>
                <c:formatCode>m/d;@</c:formatCode>
                <c:ptCount val="6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</c:numCache>
            </c:numRef>
          </c:cat>
          <c:val>
            <c:numRef>
              <c:f>股价图!$C$3:$C$8</c:f>
              <c:numCache>
                <c:formatCode>0.00_ </c:formatCode>
                <c:ptCount val="6"/>
                <c:pt idx="0">
                  <c:v>10.18</c:v>
                </c:pt>
                <c:pt idx="1">
                  <c:v>9.86</c:v>
                </c:pt>
                <c:pt idx="2">
                  <c:v>9.6999999999999993</c:v>
                </c:pt>
                <c:pt idx="3">
                  <c:v>9.5299999999999994</c:v>
                </c:pt>
                <c:pt idx="4">
                  <c:v>9.58</c:v>
                </c:pt>
                <c:pt idx="5">
                  <c:v>9.7200000000000006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9-4895-AB09-F78A164F4CCC}"/>
            </c:ext>
          </c:extLst>
        </c:ser>
        <c:ser>
          <c:idx val="1"/>
          <c:order val="1"/>
          <c:tx>
            <c:strRef>
              <c:f>股价图!$D$2</c:f>
              <c:strCache>
                <c:ptCount val="1"/>
                <c:pt idx="0">
                  <c:v>盘高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股价图!$A$3:$A$8</c:f>
              <c:numCache>
                <c:formatCode>m/d;@</c:formatCode>
                <c:ptCount val="6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</c:numCache>
            </c:numRef>
          </c:cat>
          <c:val>
            <c:numRef>
              <c:f>股价图!$D$3:$D$8</c:f>
              <c:numCache>
                <c:formatCode>0.00_ </c:formatCode>
                <c:ptCount val="6"/>
                <c:pt idx="0">
                  <c:v>9.9</c:v>
                </c:pt>
                <c:pt idx="1">
                  <c:v>9.6999999999999993</c:v>
                </c:pt>
                <c:pt idx="2">
                  <c:v>9.5299999999999994</c:v>
                </c:pt>
                <c:pt idx="3">
                  <c:v>9.5299999999999994</c:v>
                </c:pt>
                <c:pt idx="4">
                  <c:v>9.84</c:v>
                </c:pt>
                <c:pt idx="5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19-4895-AB09-F78A164F4CCC}"/>
            </c:ext>
          </c:extLst>
        </c:ser>
        <c:ser>
          <c:idx val="2"/>
          <c:order val="2"/>
          <c:tx>
            <c:strRef>
              <c:f>股价图!$E$2</c:f>
              <c:strCache>
                <c:ptCount val="1"/>
                <c:pt idx="0">
                  <c:v>盘低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股价图!$A$3:$A$8</c:f>
              <c:numCache>
                <c:formatCode>m/d;@</c:formatCode>
                <c:ptCount val="6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</c:numCache>
            </c:numRef>
          </c:cat>
          <c:val>
            <c:numRef>
              <c:f>股价图!$E$3:$E$8</c:f>
              <c:numCache>
                <c:formatCode>0.00_ </c:formatCode>
                <c:ptCount val="6"/>
                <c:pt idx="0">
                  <c:v>10.29</c:v>
                </c:pt>
                <c:pt idx="1">
                  <c:v>9.93</c:v>
                </c:pt>
                <c:pt idx="2">
                  <c:v>9.77</c:v>
                </c:pt>
                <c:pt idx="3">
                  <c:v>9.68</c:v>
                </c:pt>
                <c:pt idx="4">
                  <c:v>9.86</c:v>
                </c:pt>
                <c:pt idx="5">
                  <c:v>10.23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19-4895-AB09-F78A164F4CCC}"/>
            </c:ext>
          </c:extLst>
        </c:ser>
        <c:ser>
          <c:idx val="3"/>
          <c:order val="3"/>
          <c:tx>
            <c:strRef>
              <c:f>股价图!$F$2</c:f>
              <c:strCache>
                <c:ptCount val="1"/>
                <c:pt idx="0">
                  <c:v>收盘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股价图!$A$3:$A$8</c:f>
              <c:numCache>
                <c:formatCode>m/d;@</c:formatCode>
                <c:ptCount val="6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</c:numCache>
            </c:numRef>
          </c:cat>
          <c:val>
            <c:numRef>
              <c:f>股价图!$F$3:$F$8</c:f>
              <c:numCache>
                <c:formatCode>0.00_ </c:formatCode>
                <c:ptCount val="6"/>
                <c:pt idx="0">
                  <c:v>9.8699999999999992</c:v>
                </c:pt>
                <c:pt idx="1">
                  <c:v>9.44</c:v>
                </c:pt>
                <c:pt idx="2">
                  <c:v>9.52</c:v>
                </c:pt>
                <c:pt idx="3">
                  <c:v>9.4499999999999993</c:v>
                </c:pt>
                <c:pt idx="4">
                  <c:v>9.5</c:v>
                </c:pt>
                <c:pt idx="5">
                  <c:v>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19-4895-AB09-F78A164F4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721311712"/>
        <c:axId val="721312040"/>
      </c:stockChart>
      <c:dateAx>
        <c:axId val="721311712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721312040"/>
        <c:crosses val="autoZero"/>
        <c:auto val="1"/>
        <c:lblOffset val="100"/>
        <c:baseTimeUnit val="days"/>
      </c:dateAx>
      <c:valAx>
        <c:axId val="721312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72131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zh-CN" sz="12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宋体" panose="02010600030101010101" pitchFamily="2" charset="-122"/>
                <a:ea typeface="宋体" panose="02010600030101010101" pitchFamily="2" charset="-122"/>
              </a:rPr>
              <a:t>成交量</a:t>
            </a:r>
            <a:r>
              <a:rPr lang="en-US" altLang="zh-CN" sz="12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宋体" panose="02010600030101010101" pitchFamily="2" charset="-122"/>
                <a:ea typeface="宋体" panose="02010600030101010101" pitchFamily="2" charset="-122"/>
              </a:rPr>
              <a:t>—</a:t>
            </a:r>
            <a:r>
              <a:rPr lang="zh-CN" altLang="zh-CN" sz="12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宋体" panose="02010600030101010101" pitchFamily="2" charset="-122"/>
                <a:ea typeface="宋体" panose="02010600030101010101" pitchFamily="2" charset="-122"/>
              </a:rPr>
              <a:t>盘高</a:t>
            </a:r>
            <a:r>
              <a:rPr lang="en-US" altLang="zh-CN" sz="12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宋体" panose="02010600030101010101" pitchFamily="2" charset="-122"/>
                <a:ea typeface="宋体" panose="02010600030101010101" pitchFamily="2" charset="-122"/>
              </a:rPr>
              <a:t>—</a:t>
            </a:r>
            <a:r>
              <a:rPr lang="zh-CN" altLang="zh-CN" sz="12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宋体" panose="02010600030101010101" pitchFamily="2" charset="-122"/>
                <a:ea typeface="宋体" panose="02010600030101010101" pitchFamily="2" charset="-122"/>
              </a:rPr>
              <a:t>盘低</a:t>
            </a:r>
            <a:r>
              <a:rPr lang="en-US" altLang="zh-CN" sz="12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宋体" panose="02010600030101010101" pitchFamily="2" charset="-122"/>
                <a:ea typeface="宋体" panose="02010600030101010101" pitchFamily="2" charset="-122"/>
              </a:rPr>
              <a:t>—</a:t>
            </a:r>
            <a:r>
              <a:rPr lang="zh-CN" altLang="zh-CN" sz="1200" b="1" i="0" u="none" strike="noStrike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宋体" panose="02010600030101010101" pitchFamily="2" charset="-122"/>
                <a:ea typeface="宋体" panose="02010600030101010101" pitchFamily="2" charset="-122"/>
              </a:rPr>
              <a:t>收盘图</a:t>
            </a:r>
            <a:endParaRPr lang="zh-CN" altLang="en-US" sz="1200" b="1">
              <a:solidFill>
                <a:schemeClr val="tx1">
                  <a:lumMod val="95000"/>
                  <a:lumOff val="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股价图!$B$2</c:f>
              <c:strCache>
                <c:ptCount val="1"/>
                <c:pt idx="0">
                  <c:v>成交量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cat>
            <c:numRef>
              <c:f>股价图!$A$3:$A$8</c:f>
              <c:numCache>
                <c:formatCode>m/d;@</c:formatCode>
                <c:ptCount val="6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</c:numCache>
            </c:numRef>
          </c:cat>
          <c:val>
            <c:numRef>
              <c:f>股价图!$B$3:$B$8</c:f>
              <c:numCache>
                <c:formatCode>0.00_ </c:formatCode>
                <c:ptCount val="6"/>
                <c:pt idx="0">
                  <c:v>30.28</c:v>
                </c:pt>
                <c:pt idx="1">
                  <c:v>33.39</c:v>
                </c:pt>
                <c:pt idx="2">
                  <c:v>20.94</c:v>
                </c:pt>
                <c:pt idx="3">
                  <c:v>26.96</c:v>
                </c:pt>
                <c:pt idx="4">
                  <c:v>30.54</c:v>
                </c:pt>
                <c:pt idx="5">
                  <c:v>39.69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E-4371-86D9-1A4562E0F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2736120"/>
        <c:axId val="722736448"/>
      </c:barChart>
      <c:stockChart>
        <c:ser>
          <c:idx val="1"/>
          <c:order val="1"/>
          <c:tx>
            <c:strRef>
              <c:f>股价图!$D$2</c:f>
              <c:strCache>
                <c:ptCount val="1"/>
                <c:pt idx="0">
                  <c:v>盘高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股价图!$A$3:$A$8</c:f>
              <c:numCache>
                <c:formatCode>m/d;@</c:formatCode>
                <c:ptCount val="6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</c:numCache>
            </c:numRef>
          </c:cat>
          <c:val>
            <c:numRef>
              <c:f>股价图!$D$3:$D$8</c:f>
              <c:numCache>
                <c:formatCode>0.00_ </c:formatCode>
                <c:ptCount val="6"/>
                <c:pt idx="0">
                  <c:v>9.9</c:v>
                </c:pt>
                <c:pt idx="1">
                  <c:v>9.6999999999999993</c:v>
                </c:pt>
                <c:pt idx="2">
                  <c:v>9.5299999999999994</c:v>
                </c:pt>
                <c:pt idx="3">
                  <c:v>9.5299999999999994</c:v>
                </c:pt>
                <c:pt idx="4">
                  <c:v>9.84</c:v>
                </c:pt>
                <c:pt idx="5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BE-4371-86D9-1A4562E0FBFF}"/>
            </c:ext>
          </c:extLst>
        </c:ser>
        <c:ser>
          <c:idx val="2"/>
          <c:order val="2"/>
          <c:tx>
            <c:strRef>
              <c:f>股价图!$E$2</c:f>
              <c:strCache>
                <c:ptCount val="1"/>
                <c:pt idx="0">
                  <c:v>盘低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股价图!$A$3:$A$8</c:f>
              <c:numCache>
                <c:formatCode>m/d;@</c:formatCode>
                <c:ptCount val="6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</c:numCache>
            </c:numRef>
          </c:cat>
          <c:val>
            <c:numRef>
              <c:f>股价图!$E$3:$E$8</c:f>
              <c:numCache>
                <c:formatCode>0.00_ </c:formatCode>
                <c:ptCount val="6"/>
                <c:pt idx="0">
                  <c:v>10.29</c:v>
                </c:pt>
                <c:pt idx="1">
                  <c:v>9.93</c:v>
                </c:pt>
                <c:pt idx="2">
                  <c:v>9.77</c:v>
                </c:pt>
                <c:pt idx="3">
                  <c:v>9.68</c:v>
                </c:pt>
                <c:pt idx="4">
                  <c:v>9.86</c:v>
                </c:pt>
                <c:pt idx="5">
                  <c:v>10.23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BE-4371-86D9-1A4562E0FBFF}"/>
            </c:ext>
          </c:extLst>
        </c:ser>
        <c:ser>
          <c:idx val="3"/>
          <c:order val="3"/>
          <c:tx>
            <c:strRef>
              <c:f>股价图!$F$2</c:f>
              <c:strCache>
                <c:ptCount val="1"/>
                <c:pt idx="0">
                  <c:v>收盘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股价图!$A$3:$A$8</c:f>
              <c:numCache>
                <c:formatCode>m/d;@</c:formatCode>
                <c:ptCount val="6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</c:numCache>
            </c:numRef>
          </c:cat>
          <c:val>
            <c:numRef>
              <c:f>股价图!$F$3:$F$8</c:f>
              <c:numCache>
                <c:formatCode>0.00_ </c:formatCode>
                <c:ptCount val="6"/>
                <c:pt idx="0">
                  <c:v>9.8699999999999992</c:v>
                </c:pt>
                <c:pt idx="1">
                  <c:v>9.44</c:v>
                </c:pt>
                <c:pt idx="2">
                  <c:v>9.52</c:v>
                </c:pt>
                <c:pt idx="3">
                  <c:v>9.4499999999999993</c:v>
                </c:pt>
                <c:pt idx="4">
                  <c:v>9.5</c:v>
                </c:pt>
                <c:pt idx="5">
                  <c:v>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BE-4371-86D9-1A4562E0F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800379552"/>
        <c:axId val="800379224"/>
      </c:stockChart>
      <c:dateAx>
        <c:axId val="722736120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722736448"/>
        <c:crosses val="autoZero"/>
        <c:auto val="1"/>
        <c:lblOffset val="100"/>
        <c:baseTimeUnit val="days"/>
      </c:dateAx>
      <c:valAx>
        <c:axId val="72273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722736120"/>
        <c:crosses val="autoZero"/>
        <c:crossBetween val="between"/>
      </c:valAx>
      <c:valAx>
        <c:axId val="80037922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00379552"/>
        <c:crosses val="max"/>
        <c:crossBetween val="between"/>
      </c:valAx>
      <c:dateAx>
        <c:axId val="800379552"/>
        <c:scaling>
          <c:orientation val="minMax"/>
        </c:scaling>
        <c:delete val="1"/>
        <c:axPos val="b"/>
        <c:numFmt formatCode="m/d;@" sourceLinked="1"/>
        <c:majorTickMark val="out"/>
        <c:minorTickMark val="none"/>
        <c:tickLblPos val="nextTo"/>
        <c:crossAx val="80037922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成交量</a:t>
            </a:r>
            <a:r>
              <a:rPr lang="en-US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—</a:t>
            </a:r>
            <a:r>
              <a:rPr lang="zh-CN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开盘</a:t>
            </a:r>
            <a:r>
              <a:rPr lang="en-US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—</a:t>
            </a:r>
            <a:r>
              <a:rPr lang="zh-CN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盘高</a:t>
            </a:r>
            <a:r>
              <a:rPr lang="en-US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—</a:t>
            </a:r>
            <a:r>
              <a:rPr lang="zh-CN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盘低</a:t>
            </a:r>
            <a:r>
              <a:rPr lang="en-US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—</a:t>
            </a:r>
            <a:r>
              <a:rPr lang="zh-CN" sz="1200" b="1">
                <a:solidFill>
                  <a:schemeClr val="tx1">
                    <a:lumMod val="95000"/>
                    <a:lumOff val="5000"/>
                  </a:schemeClr>
                </a:solidFill>
              </a:rPr>
              <a:t>收盘图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股价图!$B$2</c:f>
              <c:strCache>
                <c:ptCount val="1"/>
                <c:pt idx="0">
                  <c:v>成交量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cat>
            <c:numRef>
              <c:f>股价图!$A$3:$A$8</c:f>
              <c:numCache>
                <c:formatCode>m/d;@</c:formatCode>
                <c:ptCount val="6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</c:numCache>
            </c:numRef>
          </c:cat>
          <c:val>
            <c:numRef>
              <c:f>股价图!$B$3:$B$8</c:f>
              <c:numCache>
                <c:formatCode>0.00_ </c:formatCode>
                <c:ptCount val="6"/>
                <c:pt idx="0">
                  <c:v>30.28</c:v>
                </c:pt>
                <c:pt idx="1">
                  <c:v>33.39</c:v>
                </c:pt>
                <c:pt idx="2">
                  <c:v>20.94</c:v>
                </c:pt>
                <c:pt idx="3">
                  <c:v>26.96</c:v>
                </c:pt>
                <c:pt idx="4">
                  <c:v>30.54</c:v>
                </c:pt>
                <c:pt idx="5">
                  <c:v>39.69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1-4E78-8FFB-E48A1DB3C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3278456"/>
        <c:axId val="720357960"/>
      </c:barChart>
      <c:stockChart>
        <c:ser>
          <c:idx val="1"/>
          <c:order val="1"/>
          <c:tx>
            <c:strRef>
              <c:f>股价图!$C$2</c:f>
              <c:strCache>
                <c:ptCount val="1"/>
                <c:pt idx="0">
                  <c:v>开盘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股价图!$A$3:$A$8</c:f>
              <c:numCache>
                <c:formatCode>m/d;@</c:formatCode>
                <c:ptCount val="6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</c:numCache>
            </c:numRef>
          </c:cat>
          <c:val>
            <c:numRef>
              <c:f>股价图!$C$3:$C$8</c:f>
              <c:numCache>
                <c:formatCode>0.00_ </c:formatCode>
                <c:ptCount val="6"/>
                <c:pt idx="0">
                  <c:v>10.18</c:v>
                </c:pt>
                <c:pt idx="1">
                  <c:v>9.86</c:v>
                </c:pt>
                <c:pt idx="2">
                  <c:v>9.6999999999999993</c:v>
                </c:pt>
                <c:pt idx="3">
                  <c:v>9.5299999999999994</c:v>
                </c:pt>
                <c:pt idx="4">
                  <c:v>9.58</c:v>
                </c:pt>
                <c:pt idx="5">
                  <c:v>9.7200000000000006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61-4E78-8FFB-E48A1DB3CBF3}"/>
            </c:ext>
          </c:extLst>
        </c:ser>
        <c:ser>
          <c:idx val="2"/>
          <c:order val="2"/>
          <c:tx>
            <c:strRef>
              <c:f>股价图!$D$2</c:f>
              <c:strCache>
                <c:ptCount val="1"/>
                <c:pt idx="0">
                  <c:v>盘高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股价图!$A$3:$A$8</c:f>
              <c:numCache>
                <c:formatCode>m/d;@</c:formatCode>
                <c:ptCount val="6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</c:numCache>
            </c:numRef>
          </c:cat>
          <c:val>
            <c:numRef>
              <c:f>股价图!$D$3:$D$8</c:f>
              <c:numCache>
                <c:formatCode>0.00_ </c:formatCode>
                <c:ptCount val="6"/>
                <c:pt idx="0">
                  <c:v>9.9</c:v>
                </c:pt>
                <c:pt idx="1">
                  <c:v>9.6999999999999993</c:v>
                </c:pt>
                <c:pt idx="2">
                  <c:v>9.5299999999999994</c:v>
                </c:pt>
                <c:pt idx="3">
                  <c:v>9.5299999999999994</c:v>
                </c:pt>
                <c:pt idx="4">
                  <c:v>9.84</c:v>
                </c:pt>
                <c:pt idx="5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61-4E78-8FFB-E48A1DB3CBF3}"/>
            </c:ext>
          </c:extLst>
        </c:ser>
        <c:ser>
          <c:idx val="3"/>
          <c:order val="3"/>
          <c:tx>
            <c:strRef>
              <c:f>股价图!$E$2</c:f>
              <c:strCache>
                <c:ptCount val="1"/>
                <c:pt idx="0">
                  <c:v>盘低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股价图!$A$3:$A$8</c:f>
              <c:numCache>
                <c:formatCode>m/d;@</c:formatCode>
                <c:ptCount val="6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</c:numCache>
            </c:numRef>
          </c:cat>
          <c:val>
            <c:numRef>
              <c:f>股价图!$E$3:$E$8</c:f>
              <c:numCache>
                <c:formatCode>0.00_ </c:formatCode>
                <c:ptCount val="6"/>
                <c:pt idx="0">
                  <c:v>10.29</c:v>
                </c:pt>
                <c:pt idx="1">
                  <c:v>9.93</c:v>
                </c:pt>
                <c:pt idx="2">
                  <c:v>9.77</c:v>
                </c:pt>
                <c:pt idx="3">
                  <c:v>9.68</c:v>
                </c:pt>
                <c:pt idx="4">
                  <c:v>9.86</c:v>
                </c:pt>
                <c:pt idx="5">
                  <c:v>10.23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61-4E78-8FFB-E48A1DB3CBF3}"/>
            </c:ext>
          </c:extLst>
        </c:ser>
        <c:ser>
          <c:idx val="4"/>
          <c:order val="4"/>
          <c:tx>
            <c:strRef>
              <c:f>股价图!$F$2</c:f>
              <c:strCache>
                <c:ptCount val="1"/>
                <c:pt idx="0">
                  <c:v>收盘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股价图!$A$3:$A$8</c:f>
              <c:numCache>
                <c:formatCode>m/d;@</c:formatCode>
                <c:ptCount val="6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</c:numCache>
            </c:numRef>
          </c:cat>
          <c:val>
            <c:numRef>
              <c:f>股价图!$F$3:$F$8</c:f>
              <c:numCache>
                <c:formatCode>0.00_ </c:formatCode>
                <c:ptCount val="6"/>
                <c:pt idx="0">
                  <c:v>9.8699999999999992</c:v>
                </c:pt>
                <c:pt idx="1">
                  <c:v>9.44</c:v>
                </c:pt>
                <c:pt idx="2">
                  <c:v>9.52</c:v>
                </c:pt>
                <c:pt idx="3">
                  <c:v>9.4499999999999993</c:v>
                </c:pt>
                <c:pt idx="4">
                  <c:v>9.5</c:v>
                </c:pt>
                <c:pt idx="5">
                  <c:v>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61-4E78-8FFB-E48A1DB3C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553742440"/>
        <c:axId val="553742112"/>
      </c:stockChart>
      <c:dateAx>
        <c:axId val="563278456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720357960"/>
        <c:crosses val="autoZero"/>
        <c:auto val="1"/>
        <c:lblOffset val="100"/>
        <c:baseTimeUnit val="days"/>
      </c:dateAx>
      <c:valAx>
        <c:axId val="72035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63278456"/>
        <c:crosses val="autoZero"/>
        <c:crossBetween val="between"/>
      </c:valAx>
      <c:valAx>
        <c:axId val="5537421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53742440"/>
        <c:crosses val="max"/>
        <c:crossBetween val="between"/>
      </c:valAx>
      <c:dateAx>
        <c:axId val="553742440"/>
        <c:scaling>
          <c:orientation val="minMax"/>
        </c:scaling>
        <c:delete val="1"/>
        <c:axPos val="b"/>
        <c:numFmt formatCode="m/d;@" sourceLinked="1"/>
        <c:majorTickMark val="out"/>
        <c:minorTickMark val="none"/>
        <c:tickLblPos val="nextTo"/>
        <c:crossAx val="55374211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 sz="1400" b="1"/>
              <a:t>每日气温变化之股价图</a:t>
            </a:r>
            <a:endParaRPr lang="zh-C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stockChart>
        <c:ser>
          <c:idx val="0"/>
          <c:order val="0"/>
          <c:tx>
            <c:strRef>
              <c:f>'股价图-2'!$B$2</c:f>
              <c:strCache>
                <c:ptCount val="1"/>
                <c:pt idx="0">
                  <c:v>最高气温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'股价图-2'!$A$3:$A$32</c:f>
              <c:numCache>
                <c:formatCode>m/d;@</c:formatCode>
                <c:ptCount val="30"/>
                <c:pt idx="0">
                  <c:v>43344</c:v>
                </c:pt>
                <c:pt idx="1">
                  <c:v>43345</c:v>
                </c:pt>
                <c:pt idx="2">
                  <c:v>43346</c:v>
                </c:pt>
                <c:pt idx="3">
                  <c:v>43347</c:v>
                </c:pt>
                <c:pt idx="4">
                  <c:v>43348</c:v>
                </c:pt>
                <c:pt idx="5">
                  <c:v>43349</c:v>
                </c:pt>
                <c:pt idx="6">
                  <c:v>43350</c:v>
                </c:pt>
                <c:pt idx="7">
                  <c:v>43351</c:v>
                </c:pt>
                <c:pt idx="8">
                  <c:v>43352</c:v>
                </c:pt>
                <c:pt idx="9">
                  <c:v>43353</c:v>
                </c:pt>
                <c:pt idx="10">
                  <c:v>43354</c:v>
                </c:pt>
                <c:pt idx="11">
                  <c:v>43355</c:v>
                </c:pt>
                <c:pt idx="12">
                  <c:v>43356</c:v>
                </c:pt>
                <c:pt idx="13">
                  <c:v>43357</c:v>
                </c:pt>
                <c:pt idx="14">
                  <c:v>43358</c:v>
                </c:pt>
                <c:pt idx="15">
                  <c:v>43359</c:v>
                </c:pt>
                <c:pt idx="16">
                  <c:v>43360</c:v>
                </c:pt>
                <c:pt idx="17">
                  <c:v>43361</c:v>
                </c:pt>
                <c:pt idx="18">
                  <c:v>43362</c:v>
                </c:pt>
                <c:pt idx="19">
                  <c:v>43363</c:v>
                </c:pt>
                <c:pt idx="20">
                  <c:v>43364</c:v>
                </c:pt>
                <c:pt idx="21">
                  <c:v>43365</c:v>
                </c:pt>
                <c:pt idx="22">
                  <c:v>43366</c:v>
                </c:pt>
                <c:pt idx="23">
                  <c:v>43367</c:v>
                </c:pt>
                <c:pt idx="24">
                  <c:v>43368</c:v>
                </c:pt>
                <c:pt idx="25">
                  <c:v>43369</c:v>
                </c:pt>
                <c:pt idx="26">
                  <c:v>43370</c:v>
                </c:pt>
                <c:pt idx="27">
                  <c:v>43371</c:v>
                </c:pt>
                <c:pt idx="28">
                  <c:v>43372</c:v>
                </c:pt>
                <c:pt idx="29">
                  <c:v>43373</c:v>
                </c:pt>
              </c:numCache>
            </c:numRef>
          </c:cat>
          <c:val>
            <c:numRef>
              <c:f>'股价图-2'!$B$3:$B$32</c:f>
              <c:numCache>
                <c:formatCode>General</c:formatCode>
                <c:ptCount val="30"/>
                <c:pt idx="0">
                  <c:v>30</c:v>
                </c:pt>
                <c:pt idx="1">
                  <c:v>31</c:v>
                </c:pt>
                <c:pt idx="2">
                  <c:v>31</c:v>
                </c:pt>
                <c:pt idx="3">
                  <c:v>30</c:v>
                </c:pt>
                <c:pt idx="4">
                  <c:v>30</c:v>
                </c:pt>
                <c:pt idx="5">
                  <c:v>31</c:v>
                </c:pt>
                <c:pt idx="6">
                  <c:v>30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31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29</c:v>
                </c:pt>
                <c:pt idx="22">
                  <c:v>28</c:v>
                </c:pt>
                <c:pt idx="23">
                  <c:v>29</c:v>
                </c:pt>
                <c:pt idx="24">
                  <c:v>28</c:v>
                </c:pt>
                <c:pt idx="25">
                  <c:v>28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2-4307-A0E6-4C551F6E9566}"/>
            </c:ext>
          </c:extLst>
        </c:ser>
        <c:ser>
          <c:idx val="1"/>
          <c:order val="1"/>
          <c:tx>
            <c:strRef>
              <c:f>'股价图-2'!$C$2</c:f>
              <c:strCache>
                <c:ptCount val="1"/>
                <c:pt idx="0">
                  <c:v>最低气温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'股价图-2'!$A$3:$A$32</c:f>
              <c:numCache>
                <c:formatCode>m/d;@</c:formatCode>
                <c:ptCount val="30"/>
                <c:pt idx="0">
                  <c:v>43344</c:v>
                </c:pt>
                <c:pt idx="1">
                  <c:v>43345</c:v>
                </c:pt>
                <c:pt idx="2">
                  <c:v>43346</c:v>
                </c:pt>
                <c:pt idx="3">
                  <c:v>43347</c:v>
                </c:pt>
                <c:pt idx="4">
                  <c:v>43348</c:v>
                </c:pt>
                <c:pt idx="5">
                  <c:v>43349</c:v>
                </c:pt>
                <c:pt idx="6">
                  <c:v>43350</c:v>
                </c:pt>
                <c:pt idx="7">
                  <c:v>43351</c:v>
                </c:pt>
                <c:pt idx="8">
                  <c:v>43352</c:v>
                </c:pt>
                <c:pt idx="9">
                  <c:v>43353</c:v>
                </c:pt>
                <c:pt idx="10">
                  <c:v>43354</c:v>
                </c:pt>
                <c:pt idx="11">
                  <c:v>43355</c:v>
                </c:pt>
                <c:pt idx="12">
                  <c:v>43356</c:v>
                </c:pt>
                <c:pt idx="13">
                  <c:v>43357</c:v>
                </c:pt>
                <c:pt idx="14">
                  <c:v>43358</c:v>
                </c:pt>
                <c:pt idx="15">
                  <c:v>43359</c:v>
                </c:pt>
                <c:pt idx="16">
                  <c:v>43360</c:v>
                </c:pt>
                <c:pt idx="17">
                  <c:v>43361</c:v>
                </c:pt>
                <c:pt idx="18">
                  <c:v>43362</c:v>
                </c:pt>
                <c:pt idx="19">
                  <c:v>43363</c:v>
                </c:pt>
                <c:pt idx="20">
                  <c:v>43364</c:v>
                </c:pt>
                <c:pt idx="21">
                  <c:v>43365</c:v>
                </c:pt>
                <c:pt idx="22">
                  <c:v>43366</c:v>
                </c:pt>
                <c:pt idx="23">
                  <c:v>43367</c:v>
                </c:pt>
                <c:pt idx="24">
                  <c:v>43368</c:v>
                </c:pt>
                <c:pt idx="25">
                  <c:v>43369</c:v>
                </c:pt>
                <c:pt idx="26">
                  <c:v>43370</c:v>
                </c:pt>
                <c:pt idx="27">
                  <c:v>43371</c:v>
                </c:pt>
                <c:pt idx="28">
                  <c:v>43372</c:v>
                </c:pt>
                <c:pt idx="29">
                  <c:v>43373</c:v>
                </c:pt>
              </c:numCache>
            </c:numRef>
          </c:cat>
          <c:val>
            <c:numRef>
              <c:f>'股价图-2'!$C$3:$C$32</c:f>
              <c:numCache>
                <c:formatCode>General</c:formatCode>
                <c:ptCount val="30"/>
                <c:pt idx="0">
                  <c:v>25</c:v>
                </c:pt>
                <c:pt idx="1">
                  <c:v>23</c:v>
                </c:pt>
                <c:pt idx="2">
                  <c:v>24</c:v>
                </c:pt>
                <c:pt idx="3">
                  <c:v>24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23</c:v>
                </c:pt>
                <c:pt idx="8">
                  <c:v>23</c:v>
                </c:pt>
                <c:pt idx="9">
                  <c:v>24</c:v>
                </c:pt>
                <c:pt idx="10">
                  <c:v>23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22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19</c:v>
                </c:pt>
                <c:pt idx="27">
                  <c:v>19</c:v>
                </c:pt>
                <c:pt idx="28">
                  <c:v>18</c:v>
                </c:pt>
                <c:pt idx="2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82-4307-A0E6-4C551F6E9566}"/>
            </c:ext>
          </c:extLst>
        </c:ser>
        <c:ser>
          <c:idx val="2"/>
          <c:order val="2"/>
          <c:tx>
            <c:strRef>
              <c:f>'股价图-2'!$D$2</c:f>
              <c:strCache>
                <c:ptCount val="1"/>
                <c:pt idx="0">
                  <c:v>平均气温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FFC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'股价图-2'!$A$3:$A$32</c:f>
              <c:numCache>
                <c:formatCode>m/d;@</c:formatCode>
                <c:ptCount val="30"/>
                <c:pt idx="0">
                  <c:v>43344</c:v>
                </c:pt>
                <c:pt idx="1">
                  <c:v>43345</c:v>
                </c:pt>
                <c:pt idx="2">
                  <c:v>43346</c:v>
                </c:pt>
                <c:pt idx="3">
                  <c:v>43347</c:v>
                </c:pt>
                <c:pt idx="4">
                  <c:v>43348</c:v>
                </c:pt>
                <c:pt idx="5">
                  <c:v>43349</c:v>
                </c:pt>
                <c:pt idx="6">
                  <c:v>43350</c:v>
                </c:pt>
                <c:pt idx="7">
                  <c:v>43351</c:v>
                </c:pt>
                <c:pt idx="8">
                  <c:v>43352</c:v>
                </c:pt>
                <c:pt idx="9">
                  <c:v>43353</c:v>
                </c:pt>
                <c:pt idx="10">
                  <c:v>43354</c:v>
                </c:pt>
                <c:pt idx="11">
                  <c:v>43355</c:v>
                </c:pt>
                <c:pt idx="12">
                  <c:v>43356</c:v>
                </c:pt>
                <c:pt idx="13">
                  <c:v>43357</c:v>
                </c:pt>
                <c:pt idx="14">
                  <c:v>43358</c:v>
                </c:pt>
                <c:pt idx="15">
                  <c:v>43359</c:v>
                </c:pt>
                <c:pt idx="16">
                  <c:v>43360</c:v>
                </c:pt>
                <c:pt idx="17">
                  <c:v>43361</c:v>
                </c:pt>
                <c:pt idx="18">
                  <c:v>43362</c:v>
                </c:pt>
                <c:pt idx="19">
                  <c:v>43363</c:v>
                </c:pt>
                <c:pt idx="20">
                  <c:v>43364</c:v>
                </c:pt>
                <c:pt idx="21">
                  <c:v>43365</c:v>
                </c:pt>
                <c:pt idx="22">
                  <c:v>43366</c:v>
                </c:pt>
                <c:pt idx="23">
                  <c:v>43367</c:v>
                </c:pt>
                <c:pt idx="24">
                  <c:v>43368</c:v>
                </c:pt>
                <c:pt idx="25">
                  <c:v>43369</c:v>
                </c:pt>
                <c:pt idx="26">
                  <c:v>43370</c:v>
                </c:pt>
                <c:pt idx="27">
                  <c:v>43371</c:v>
                </c:pt>
                <c:pt idx="28">
                  <c:v>43372</c:v>
                </c:pt>
                <c:pt idx="29">
                  <c:v>43373</c:v>
                </c:pt>
              </c:numCache>
            </c:numRef>
          </c:cat>
          <c:val>
            <c:numRef>
              <c:f>'股价图-2'!$D$3:$D$32</c:f>
              <c:numCache>
                <c:formatCode>0.0_ </c:formatCode>
                <c:ptCount val="30"/>
                <c:pt idx="0">
                  <c:v>27.5</c:v>
                </c:pt>
                <c:pt idx="1">
                  <c:v>27</c:v>
                </c:pt>
                <c:pt idx="2">
                  <c:v>27.5</c:v>
                </c:pt>
                <c:pt idx="3">
                  <c:v>27</c:v>
                </c:pt>
                <c:pt idx="4">
                  <c:v>26.5</c:v>
                </c:pt>
                <c:pt idx="5">
                  <c:v>27.5</c:v>
                </c:pt>
                <c:pt idx="6">
                  <c:v>27.5</c:v>
                </c:pt>
                <c:pt idx="7">
                  <c:v>27</c:v>
                </c:pt>
                <c:pt idx="8">
                  <c:v>27</c:v>
                </c:pt>
                <c:pt idx="9">
                  <c:v>27.5</c:v>
                </c:pt>
                <c:pt idx="10">
                  <c:v>26.5</c:v>
                </c:pt>
                <c:pt idx="11">
                  <c:v>26.5</c:v>
                </c:pt>
                <c:pt idx="12">
                  <c:v>27</c:v>
                </c:pt>
                <c:pt idx="13">
                  <c:v>28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24.5</c:v>
                </c:pt>
                <c:pt idx="19">
                  <c:v>25</c:v>
                </c:pt>
                <c:pt idx="20">
                  <c:v>24.5</c:v>
                </c:pt>
                <c:pt idx="21">
                  <c:v>25</c:v>
                </c:pt>
                <c:pt idx="22">
                  <c:v>24.5</c:v>
                </c:pt>
                <c:pt idx="23">
                  <c:v>24.5</c:v>
                </c:pt>
                <c:pt idx="24">
                  <c:v>24</c:v>
                </c:pt>
                <c:pt idx="25">
                  <c:v>24</c:v>
                </c:pt>
                <c:pt idx="26">
                  <c:v>23</c:v>
                </c:pt>
                <c:pt idx="27">
                  <c:v>23</c:v>
                </c:pt>
                <c:pt idx="28">
                  <c:v>22.5</c:v>
                </c:pt>
                <c:pt idx="29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82-4307-A0E6-4C551F6E9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797181296"/>
        <c:axId val="726132472"/>
      </c:stockChart>
      <c:dateAx>
        <c:axId val="797181296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726132472"/>
        <c:crosses val="autoZero"/>
        <c:auto val="1"/>
        <c:lblOffset val="100"/>
        <c:baseTimeUnit val="days"/>
      </c:dateAx>
      <c:valAx>
        <c:axId val="726132472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79718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 sz="1400" b="1"/>
              <a:t>游戏人物属性之雷达图</a:t>
            </a:r>
            <a:endParaRPr lang="zh-C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雷达图!$B$2</c:f>
              <c:strCache>
                <c:ptCount val="1"/>
                <c:pt idx="0">
                  <c:v>甲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雷达图!$A$3:$A$7</c:f>
              <c:strCache>
                <c:ptCount val="5"/>
                <c:pt idx="0">
                  <c:v>生命力</c:v>
                </c:pt>
                <c:pt idx="1">
                  <c:v>攻击力</c:v>
                </c:pt>
                <c:pt idx="2">
                  <c:v>防御力</c:v>
                </c:pt>
                <c:pt idx="3">
                  <c:v>敏捷性</c:v>
                </c:pt>
                <c:pt idx="4">
                  <c:v>持久性</c:v>
                </c:pt>
              </c:strCache>
            </c:strRef>
          </c:cat>
          <c:val>
            <c:numRef>
              <c:f>雷达图!$B$3:$B$7</c:f>
              <c:numCache>
                <c:formatCode>General</c:formatCode>
                <c:ptCount val="5"/>
                <c:pt idx="0">
                  <c:v>76</c:v>
                </c:pt>
                <c:pt idx="1">
                  <c:v>47</c:v>
                </c:pt>
                <c:pt idx="2">
                  <c:v>75</c:v>
                </c:pt>
                <c:pt idx="3">
                  <c:v>87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3-45D5-AED0-0D4D21D94AD2}"/>
            </c:ext>
          </c:extLst>
        </c:ser>
        <c:ser>
          <c:idx val="1"/>
          <c:order val="1"/>
          <c:tx>
            <c:strRef>
              <c:f>雷达图!$C$2</c:f>
              <c:strCache>
                <c:ptCount val="1"/>
                <c:pt idx="0">
                  <c:v>乙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雷达图!$A$3:$A$7</c:f>
              <c:strCache>
                <c:ptCount val="5"/>
                <c:pt idx="0">
                  <c:v>生命力</c:v>
                </c:pt>
                <c:pt idx="1">
                  <c:v>攻击力</c:v>
                </c:pt>
                <c:pt idx="2">
                  <c:v>防御力</c:v>
                </c:pt>
                <c:pt idx="3">
                  <c:v>敏捷性</c:v>
                </c:pt>
                <c:pt idx="4">
                  <c:v>持久性</c:v>
                </c:pt>
              </c:strCache>
            </c:strRef>
          </c:cat>
          <c:val>
            <c:numRef>
              <c:f>雷达图!$C$3:$C$7</c:f>
              <c:numCache>
                <c:formatCode>General</c:formatCode>
                <c:ptCount val="5"/>
                <c:pt idx="0">
                  <c:v>93</c:v>
                </c:pt>
                <c:pt idx="1">
                  <c:v>75</c:v>
                </c:pt>
                <c:pt idx="2">
                  <c:v>56</c:v>
                </c:pt>
                <c:pt idx="3">
                  <c:v>43</c:v>
                </c:pt>
                <c:pt idx="4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3-45D5-AED0-0D4D21D94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772464"/>
        <c:axId val="479772792"/>
      </c:radarChart>
      <c:catAx>
        <c:axId val="47977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479772792"/>
        <c:crosses val="autoZero"/>
        <c:auto val="1"/>
        <c:lblAlgn val="ctr"/>
        <c:lblOffset val="100"/>
        <c:noMultiLvlLbl val="0"/>
      </c:catAx>
      <c:valAx>
        <c:axId val="47977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47977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 sz="1400" b="1" i="0"/>
              <a:t>椭圆抛物面之</a:t>
            </a:r>
            <a:r>
              <a:rPr lang="zh-CN" sz="1400" b="1" i="0"/>
              <a:t>曲面图</a:t>
            </a:r>
            <a:endParaRPr lang="en-US" sz="1400" b="1" i="0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20"/>
      <c:rotY val="40"/>
      <c:rAngAx val="0"/>
      <c:perspective val="2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000453514739234E-2"/>
          <c:y val="0.17739682539682541"/>
          <c:w val="0.86935714285714283"/>
          <c:h val="0.6450555555555556"/>
        </c:manualLayout>
      </c:layout>
      <c:surface3DChart>
        <c:wireframe val="0"/>
        <c:ser>
          <c:idx val="0"/>
          <c:order val="0"/>
          <c:tx>
            <c:strRef>
              <c:f>曲面图!$A$3</c:f>
              <c:strCache>
                <c:ptCount val="1"/>
                <c:pt idx="0">
                  <c:v>-1.0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曲面图!$B$3:$V$3</c:f>
              <c:numCache>
                <c:formatCode>0.00</c:formatCode>
                <c:ptCount val="21"/>
                <c:pt idx="0">
                  <c:v>0.3611111111111111</c:v>
                </c:pt>
                <c:pt idx="1">
                  <c:v>0.34</c:v>
                </c:pt>
                <c:pt idx="2">
                  <c:v>0.32111111111111112</c:v>
                </c:pt>
                <c:pt idx="3">
                  <c:v>0.30444444444444446</c:v>
                </c:pt>
                <c:pt idx="4">
                  <c:v>0.29000000000000004</c:v>
                </c:pt>
                <c:pt idx="5">
                  <c:v>0.27777777777777779</c:v>
                </c:pt>
                <c:pt idx="6">
                  <c:v>0.26777777777777778</c:v>
                </c:pt>
                <c:pt idx="7">
                  <c:v>0.26</c:v>
                </c:pt>
                <c:pt idx="8">
                  <c:v>0.25444444444444447</c:v>
                </c:pt>
                <c:pt idx="9">
                  <c:v>0.25111111111111112</c:v>
                </c:pt>
                <c:pt idx="10">
                  <c:v>0.25</c:v>
                </c:pt>
                <c:pt idx="11">
                  <c:v>0.25111111111111112</c:v>
                </c:pt>
                <c:pt idx="12">
                  <c:v>0.25444444444444442</c:v>
                </c:pt>
                <c:pt idx="13">
                  <c:v>0.26</c:v>
                </c:pt>
                <c:pt idx="14">
                  <c:v>0.26777777777777778</c:v>
                </c:pt>
                <c:pt idx="15">
                  <c:v>0.27777777777777779</c:v>
                </c:pt>
                <c:pt idx="16">
                  <c:v>0.28999999999999998</c:v>
                </c:pt>
                <c:pt idx="17">
                  <c:v>0.30444444444444441</c:v>
                </c:pt>
                <c:pt idx="18">
                  <c:v>0.32111111111111107</c:v>
                </c:pt>
                <c:pt idx="19">
                  <c:v>0.33999999999999997</c:v>
                </c:pt>
                <c:pt idx="20">
                  <c:v>0.36111111111111105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9-4C33-8849-89836EA6A931}"/>
            </c:ext>
          </c:extLst>
        </c:ser>
        <c:ser>
          <c:idx val="1"/>
          <c:order val="1"/>
          <c:tx>
            <c:strRef>
              <c:f>曲面图!$A$4</c:f>
              <c:strCache>
                <c:ptCount val="1"/>
                <c:pt idx="0">
                  <c:v>-0.9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曲面图!$B$4:$V$4</c:f>
              <c:numCache>
                <c:formatCode>0.00</c:formatCode>
                <c:ptCount val="21"/>
                <c:pt idx="0">
                  <c:v>0.31361111111111112</c:v>
                </c:pt>
                <c:pt idx="1">
                  <c:v>0.29250000000000004</c:v>
                </c:pt>
                <c:pt idx="2">
                  <c:v>0.27361111111111114</c:v>
                </c:pt>
                <c:pt idx="3">
                  <c:v>0.25694444444444448</c:v>
                </c:pt>
                <c:pt idx="4">
                  <c:v>0.24250000000000002</c:v>
                </c:pt>
                <c:pt idx="5">
                  <c:v>0.2302777777777778</c:v>
                </c:pt>
                <c:pt idx="6">
                  <c:v>0.22027777777777779</c:v>
                </c:pt>
                <c:pt idx="7">
                  <c:v>0.21250000000000002</c:v>
                </c:pt>
                <c:pt idx="8">
                  <c:v>0.20694444444444446</c:v>
                </c:pt>
                <c:pt idx="9">
                  <c:v>0.20361111111111113</c:v>
                </c:pt>
                <c:pt idx="10">
                  <c:v>0.20250000000000001</c:v>
                </c:pt>
                <c:pt idx="11">
                  <c:v>0.20361111111111113</c:v>
                </c:pt>
                <c:pt idx="12">
                  <c:v>0.20694444444444446</c:v>
                </c:pt>
                <c:pt idx="13">
                  <c:v>0.21249999999999999</c:v>
                </c:pt>
                <c:pt idx="14">
                  <c:v>0.22027777777777779</c:v>
                </c:pt>
                <c:pt idx="15">
                  <c:v>0.23027777777777778</c:v>
                </c:pt>
                <c:pt idx="16">
                  <c:v>0.24249999999999999</c:v>
                </c:pt>
                <c:pt idx="17">
                  <c:v>0.25694444444444442</c:v>
                </c:pt>
                <c:pt idx="18">
                  <c:v>0.27361111111111108</c:v>
                </c:pt>
                <c:pt idx="19">
                  <c:v>0.29249999999999998</c:v>
                </c:pt>
                <c:pt idx="20">
                  <c:v>0.31361111111111106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E9-4C33-8849-89836EA6A931}"/>
            </c:ext>
          </c:extLst>
        </c:ser>
        <c:ser>
          <c:idx val="2"/>
          <c:order val="2"/>
          <c:tx>
            <c:strRef>
              <c:f>曲面图!$A$5</c:f>
              <c:strCache>
                <c:ptCount val="1"/>
                <c:pt idx="0">
                  <c:v>-0.8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曲面图!$B$5:$V$5</c:f>
              <c:numCache>
                <c:formatCode>0.00</c:formatCode>
                <c:ptCount val="21"/>
                <c:pt idx="0">
                  <c:v>0.27111111111111114</c:v>
                </c:pt>
                <c:pt idx="1">
                  <c:v>0.25000000000000006</c:v>
                </c:pt>
                <c:pt idx="2">
                  <c:v>0.23111111111111116</c:v>
                </c:pt>
                <c:pt idx="3">
                  <c:v>0.21444444444444449</c:v>
                </c:pt>
                <c:pt idx="4">
                  <c:v>0.20000000000000004</c:v>
                </c:pt>
                <c:pt idx="5">
                  <c:v>0.18777777777777782</c:v>
                </c:pt>
                <c:pt idx="6">
                  <c:v>0.17777777777777781</c:v>
                </c:pt>
                <c:pt idx="7">
                  <c:v>0.17000000000000004</c:v>
                </c:pt>
                <c:pt idx="8">
                  <c:v>0.16444444444444448</c:v>
                </c:pt>
                <c:pt idx="9">
                  <c:v>0.16111111111111115</c:v>
                </c:pt>
                <c:pt idx="10">
                  <c:v>0.16000000000000003</c:v>
                </c:pt>
                <c:pt idx="11">
                  <c:v>0.16111111111111115</c:v>
                </c:pt>
                <c:pt idx="12">
                  <c:v>0.16444444444444448</c:v>
                </c:pt>
                <c:pt idx="13">
                  <c:v>0.17</c:v>
                </c:pt>
                <c:pt idx="14">
                  <c:v>0.17777777777777781</c:v>
                </c:pt>
                <c:pt idx="15">
                  <c:v>0.18777777777777779</c:v>
                </c:pt>
                <c:pt idx="16">
                  <c:v>0.2</c:v>
                </c:pt>
                <c:pt idx="17">
                  <c:v>0.21444444444444444</c:v>
                </c:pt>
                <c:pt idx="18">
                  <c:v>0.2311111111111111</c:v>
                </c:pt>
                <c:pt idx="19">
                  <c:v>0.25</c:v>
                </c:pt>
                <c:pt idx="20">
                  <c:v>0.27111111111111108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E9-4C33-8849-89836EA6A931}"/>
            </c:ext>
          </c:extLst>
        </c:ser>
        <c:ser>
          <c:idx val="3"/>
          <c:order val="3"/>
          <c:tx>
            <c:strRef>
              <c:f>曲面图!$A$6</c:f>
              <c:strCache>
                <c:ptCount val="1"/>
                <c:pt idx="0">
                  <c:v>-0.7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曲面图!$B$6:$V$6</c:f>
              <c:numCache>
                <c:formatCode>0.00</c:formatCode>
                <c:ptCount val="21"/>
                <c:pt idx="0">
                  <c:v>0.23361111111111113</c:v>
                </c:pt>
                <c:pt idx="1">
                  <c:v>0.21250000000000002</c:v>
                </c:pt>
                <c:pt idx="2">
                  <c:v>0.19361111111111115</c:v>
                </c:pt>
                <c:pt idx="3">
                  <c:v>0.17694444444444449</c:v>
                </c:pt>
                <c:pt idx="4">
                  <c:v>0.16250000000000003</c:v>
                </c:pt>
                <c:pt idx="5">
                  <c:v>0.15027777777777782</c:v>
                </c:pt>
                <c:pt idx="6">
                  <c:v>0.14027777777777781</c:v>
                </c:pt>
                <c:pt idx="7">
                  <c:v>0.13250000000000003</c:v>
                </c:pt>
                <c:pt idx="8">
                  <c:v>0.12694444444444447</c:v>
                </c:pt>
                <c:pt idx="9">
                  <c:v>0.12361111111111114</c:v>
                </c:pt>
                <c:pt idx="10">
                  <c:v>0.12250000000000003</c:v>
                </c:pt>
                <c:pt idx="11">
                  <c:v>0.12361111111111113</c:v>
                </c:pt>
                <c:pt idx="12">
                  <c:v>0.12694444444444447</c:v>
                </c:pt>
                <c:pt idx="13">
                  <c:v>0.13250000000000001</c:v>
                </c:pt>
                <c:pt idx="14">
                  <c:v>0.14027777777777778</c:v>
                </c:pt>
                <c:pt idx="15">
                  <c:v>0.15027777777777779</c:v>
                </c:pt>
                <c:pt idx="16">
                  <c:v>0.16250000000000001</c:v>
                </c:pt>
                <c:pt idx="17">
                  <c:v>0.17694444444444446</c:v>
                </c:pt>
                <c:pt idx="18">
                  <c:v>0.19361111111111109</c:v>
                </c:pt>
                <c:pt idx="19">
                  <c:v>0.21249999999999997</c:v>
                </c:pt>
                <c:pt idx="20">
                  <c:v>0.2336111111111111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E9-4C33-8849-89836EA6A931}"/>
            </c:ext>
          </c:extLst>
        </c:ser>
        <c:ser>
          <c:idx val="4"/>
          <c:order val="4"/>
          <c:tx>
            <c:strRef>
              <c:f>曲面图!$A$7</c:f>
              <c:strCache>
                <c:ptCount val="1"/>
                <c:pt idx="0">
                  <c:v>-0.6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曲面图!$B$7:$V$7</c:f>
              <c:numCache>
                <c:formatCode>0.00</c:formatCode>
                <c:ptCount val="21"/>
                <c:pt idx="0">
                  <c:v>0.20111111111111113</c:v>
                </c:pt>
                <c:pt idx="1">
                  <c:v>0.18000000000000005</c:v>
                </c:pt>
                <c:pt idx="2">
                  <c:v>0.16111111111111115</c:v>
                </c:pt>
                <c:pt idx="3">
                  <c:v>0.14444444444444449</c:v>
                </c:pt>
                <c:pt idx="4">
                  <c:v>0.13000000000000003</c:v>
                </c:pt>
                <c:pt idx="5">
                  <c:v>0.11777777777777781</c:v>
                </c:pt>
                <c:pt idx="6">
                  <c:v>0.10777777777777782</c:v>
                </c:pt>
                <c:pt idx="7">
                  <c:v>0.10000000000000003</c:v>
                </c:pt>
                <c:pt idx="8">
                  <c:v>9.444444444444447E-2</c:v>
                </c:pt>
                <c:pt idx="9">
                  <c:v>9.1111111111111143E-2</c:v>
                </c:pt>
                <c:pt idx="10">
                  <c:v>9.0000000000000024E-2</c:v>
                </c:pt>
                <c:pt idx="11">
                  <c:v>9.1111111111111129E-2</c:v>
                </c:pt>
                <c:pt idx="12">
                  <c:v>9.444444444444447E-2</c:v>
                </c:pt>
                <c:pt idx="13">
                  <c:v>0.10000000000000002</c:v>
                </c:pt>
                <c:pt idx="14">
                  <c:v>0.10777777777777779</c:v>
                </c:pt>
                <c:pt idx="15">
                  <c:v>0.11777777777777779</c:v>
                </c:pt>
                <c:pt idx="16">
                  <c:v>0.13</c:v>
                </c:pt>
                <c:pt idx="17">
                  <c:v>0.14444444444444443</c:v>
                </c:pt>
                <c:pt idx="18">
                  <c:v>0.16111111111111109</c:v>
                </c:pt>
                <c:pt idx="19">
                  <c:v>0.18</c:v>
                </c:pt>
                <c:pt idx="20">
                  <c:v>0.20111111111111107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E9-4C33-8849-89836EA6A931}"/>
            </c:ext>
          </c:extLst>
        </c:ser>
        <c:ser>
          <c:idx val="5"/>
          <c:order val="5"/>
          <c:tx>
            <c:strRef>
              <c:f>曲面图!$A$8</c:f>
              <c:strCache>
                <c:ptCount val="1"/>
                <c:pt idx="0">
                  <c:v>-0.5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曲面图!$B$8:$V$8</c:f>
              <c:numCache>
                <c:formatCode>0.00</c:formatCode>
                <c:ptCount val="21"/>
                <c:pt idx="0">
                  <c:v>0.17361111111111113</c:v>
                </c:pt>
                <c:pt idx="1">
                  <c:v>0.15250000000000002</c:v>
                </c:pt>
                <c:pt idx="2">
                  <c:v>0.13361111111111115</c:v>
                </c:pt>
                <c:pt idx="3">
                  <c:v>0.11694444444444449</c:v>
                </c:pt>
                <c:pt idx="4">
                  <c:v>0.10250000000000004</c:v>
                </c:pt>
                <c:pt idx="5">
                  <c:v>9.0277777777777818E-2</c:v>
                </c:pt>
                <c:pt idx="6">
                  <c:v>8.0277777777777823E-2</c:v>
                </c:pt>
                <c:pt idx="7">
                  <c:v>7.2500000000000037E-2</c:v>
                </c:pt>
                <c:pt idx="8">
                  <c:v>6.6944444444444473E-2</c:v>
                </c:pt>
                <c:pt idx="9">
                  <c:v>6.3611111111111146E-2</c:v>
                </c:pt>
                <c:pt idx="10">
                  <c:v>6.2500000000000028E-2</c:v>
                </c:pt>
                <c:pt idx="11">
                  <c:v>6.3611111111111132E-2</c:v>
                </c:pt>
                <c:pt idx="12">
                  <c:v>6.6944444444444473E-2</c:v>
                </c:pt>
                <c:pt idx="13">
                  <c:v>7.2500000000000023E-2</c:v>
                </c:pt>
                <c:pt idx="14">
                  <c:v>8.0277777777777795E-2</c:v>
                </c:pt>
                <c:pt idx="15">
                  <c:v>9.027777777777779E-2</c:v>
                </c:pt>
                <c:pt idx="16">
                  <c:v>0.10250000000000001</c:v>
                </c:pt>
                <c:pt idx="17">
                  <c:v>0.11694444444444445</c:v>
                </c:pt>
                <c:pt idx="18">
                  <c:v>0.1336111111111111</c:v>
                </c:pt>
                <c:pt idx="19">
                  <c:v>0.15249999999999997</c:v>
                </c:pt>
                <c:pt idx="20">
                  <c:v>0.1736111111111111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E9-4C33-8849-89836EA6A931}"/>
            </c:ext>
          </c:extLst>
        </c:ser>
        <c:ser>
          <c:idx val="6"/>
          <c:order val="6"/>
          <c:tx>
            <c:strRef>
              <c:f>曲面图!$A$9</c:f>
              <c:strCache>
                <c:ptCount val="1"/>
                <c:pt idx="0">
                  <c:v>-0.4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曲面图!$B$9:$V$9</c:f>
              <c:numCache>
                <c:formatCode>0.00</c:formatCode>
                <c:ptCount val="21"/>
                <c:pt idx="0">
                  <c:v>0.15111111111111114</c:v>
                </c:pt>
                <c:pt idx="1">
                  <c:v>0.13000000000000003</c:v>
                </c:pt>
                <c:pt idx="2">
                  <c:v>0.11111111111111116</c:v>
                </c:pt>
                <c:pt idx="3">
                  <c:v>9.4444444444444484E-2</c:v>
                </c:pt>
                <c:pt idx="4">
                  <c:v>8.0000000000000043E-2</c:v>
                </c:pt>
                <c:pt idx="5">
                  <c:v>6.7777777777777826E-2</c:v>
                </c:pt>
                <c:pt idx="6">
                  <c:v>5.7777777777777817E-2</c:v>
                </c:pt>
                <c:pt idx="7">
                  <c:v>5.0000000000000037E-2</c:v>
                </c:pt>
                <c:pt idx="8">
                  <c:v>4.4444444444444481E-2</c:v>
                </c:pt>
                <c:pt idx="9">
                  <c:v>4.111111111111114E-2</c:v>
                </c:pt>
                <c:pt idx="10">
                  <c:v>4.0000000000000029E-2</c:v>
                </c:pt>
                <c:pt idx="11">
                  <c:v>4.111111111111114E-2</c:v>
                </c:pt>
                <c:pt idx="12">
                  <c:v>4.4444444444444467E-2</c:v>
                </c:pt>
                <c:pt idx="13">
                  <c:v>5.0000000000000017E-2</c:v>
                </c:pt>
                <c:pt idx="14">
                  <c:v>5.7777777777777796E-2</c:v>
                </c:pt>
                <c:pt idx="15">
                  <c:v>6.7777777777777798E-2</c:v>
                </c:pt>
                <c:pt idx="16">
                  <c:v>8.0000000000000016E-2</c:v>
                </c:pt>
                <c:pt idx="17">
                  <c:v>9.4444444444444442E-2</c:v>
                </c:pt>
                <c:pt idx="18">
                  <c:v>0.1111111111111111</c:v>
                </c:pt>
                <c:pt idx="19">
                  <c:v>0.12999999999999998</c:v>
                </c:pt>
                <c:pt idx="20">
                  <c:v>0.15111111111111108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E9-4C33-8849-89836EA6A931}"/>
            </c:ext>
          </c:extLst>
        </c:ser>
        <c:ser>
          <c:idx val="7"/>
          <c:order val="7"/>
          <c:tx>
            <c:strRef>
              <c:f>曲面图!$A$10</c:f>
              <c:strCache>
                <c:ptCount val="1"/>
                <c:pt idx="0">
                  <c:v>-0.3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曲面图!$B$10:$V$10</c:f>
              <c:numCache>
                <c:formatCode>0.00</c:formatCode>
                <c:ptCount val="21"/>
                <c:pt idx="0">
                  <c:v>0.13361111111111112</c:v>
                </c:pt>
                <c:pt idx="1">
                  <c:v>0.11250000000000003</c:v>
                </c:pt>
                <c:pt idx="2">
                  <c:v>9.3611111111111145E-2</c:v>
                </c:pt>
                <c:pt idx="3">
                  <c:v>7.6944444444444482E-2</c:v>
                </c:pt>
                <c:pt idx="4">
                  <c:v>6.2500000000000028E-2</c:v>
                </c:pt>
                <c:pt idx="5">
                  <c:v>5.027777777777781E-2</c:v>
                </c:pt>
                <c:pt idx="6">
                  <c:v>4.0277777777777815E-2</c:v>
                </c:pt>
                <c:pt idx="7">
                  <c:v>3.2500000000000036E-2</c:v>
                </c:pt>
                <c:pt idx="8">
                  <c:v>2.6944444444444476E-2</c:v>
                </c:pt>
                <c:pt idx="9">
                  <c:v>2.3611111111111138E-2</c:v>
                </c:pt>
                <c:pt idx="10">
                  <c:v>2.2500000000000023E-2</c:v>
                </c:pt>
                <c:pt idx="11">
                  <c:v>2.3611111111111131E-2</c:v>
                </c:pt>
                <c:pt idx="12">
                  <c:v>2.6944444444444462E-2</c:v>
                </c:pt>
                <c:pt idx="13">
                  <c:v>3.2500000000000015E-2</c:v>
                </c:pt>
                <c:pt idx="14">
                  <c:v>4.0277777777777787E-2</c:v>
                </c:pt>
                <c:pt idx="15">
                  <c:v>5.0277777777777789E-2</c:v>
                </c:pt>
                <c:pt idx="16">
                  <c:v>6.25E-2</c:v>
                </c:pt>
                <c:pt idx="17">
                  <c:v>7.694444444444444E-2</c:v>
                </c:pt>
                <c:pt idx="18">
                  <c:v>9.3611111111111089E-2</c:v>
                </c:pt>
                <c:pt idx="19">
                  <c:v>0.11249999999999998</c:v>
                </c:pt>
                <c:pt idx="20">
                  <c:v>0.1336111111111111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E9-4C33-8849-89836EA6A931}"/>
            </c:ext>
          </c:extLst>
        </c:ser>
        <c:ser>
          <c:idx val="8"/>
          <c:order val="8"/>
          <c:tx>
            <c:strRef>
              <c:f>曲面图!$A$11</c:f>
              <c:strCache>
                <c:ptCount val="1"/>
                <c:pt idx="0">
                  <c:v>-0.2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曲面图!$B$11:$V$11</c:f>
              <c:numCache>
                <c:formatCode>0.00</c:formatCode>
                <c:ptCount val="21"/>
                <c:pt idx="0">
                  <c:v>0.12111111111111111</c:v>
                </c:pt>
                <c:pt idx="1">
                  <c:v>0.10000000000000003</c:v>
                </c:pt>
                <c:pt idx="2">
                  <c:v>8.1111111111111134E-2</c:v>
                </c:pt>
                <c:pt idx="3">
                  <c:v>6.4444444444444471E-2</c:v>
                </c:pt>
                <c:pt idx="4">
                  <c:v>5.0000000000000024E-2</c:v>
                </c:pt>
                <c:pt idx="5">
                  <c:v>3.7777777777777806E-2</c:v>
                </c:pt>
                <c:pt idx="6">
                  <c:v>2.7777777777777807E-2</c:v>
                </c:pt>
                <c:pt idx="7">
                  <c:v>2.0000000000000025E-2</c:v>
                </c:pt>
                <c:pt idx="8">
                  <c:v>1.4444444444444468E-2</c:v>
                </c:pt>
                <c:pt idx="9">
                  <c:v>1.1111111111111131E-2</c:v>
                </c:pt>
                <c:pt idx="10">
                  <c:v>1.0000000000000016E-2</c:v>
                </c:pt>
                <c:pt idx="11">
                  <c:v>1.1111111111111124E-2</c:v>
                </c:pt>
                <c:pt idx="12">
                  <c:v>1.4444444444444454E-2</c:v>
                </c:pt>
                <c:pt idx="13">
                  <c:v>2.0000000000000007E-2</c:v>
                </c:pt>
                <c:pt idx="14">
                  <c:v>2.7777777777777783E-2</c:v>
                </c:pt>
                <c:pt idx="15">
                  <c:v>3.7777777777777785E-2</c:v>
                </c:pt>
                <c:pt idx="16">
                  <c:v>4.9999999999999996E-2</c:v>
                </c:pt>
                <c:pt idx="17">
                  <c:v>6.4444444444444443E-2</c:v>
                </c:pt>
                <c:pt idx="18">
                  <c:v>8.1111111111111078E-2</c:v>
                </c:pt>
                <c:pt idx="19">
                  <c:v>9.9999999999999978E-2</c:v>
                </c:pt>
                <c:pt idx="20">
                  <c:v>0.12111111111111109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9-4C33-8849-89836EA6A931}"/>
            </c:ext>
          </c:extLst>
        </c:ser>
        <c:ser>
          <c:idx val="9"/>
          <c:order val="9"/>
          <c:tx>
            <c:strRef>
              <c:f>曲面图!$A$12</c:f>
              <c:strCache>
                <c:ptCount val="1"/>
                <c:pt idx="0">
                  <c:v>-0.1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曲面图!$B$12:$V$12</c:f>
              <c:numCache>
                <c:formatCode>0.00</c:formatCode>
                <c:ptCount val="21"/>
                <c:pt idx="0">
                  <c:v>0.11361111111111111</c:v>
                </c:pt>
                <c:pt idx="1">
                  <c:v>9.2500000000000013E-2</c:v>
                </c:pt>
                <c:pt idx="2">
                  <c:v>7.3611111111111127E-2</c:v>
                </c:pt>
                <c:pt idx="3">
                  <c:v>5.6944444444444464E-2</c:v>
                </c:pt>
                <c:pt idx="4">
                  <c:v>4.2500000000000017E-2</c:v>
                </c:pt>
                <c:pt idx="5">
                  <c:v>3.0277777777777799E-2</c:v>
                </c:pt>
                <c:pt idx="6">
                  <c:v>2.0277777777777797E-2</c:v>
                </c:pt>
                <c:pt idx="7">
                  <c:v>1.2500000000000018E-2</c:v>
                </c:pt>
                <c:pt idx="8">
                  <c:v>6.9444444444444588E-3</c:v>
                </c:pt>
                <c:pt idx="9">
                  <c:v>3.6111111111111218E-3</c:v>
                </c:pt>
                <c:pt idx="10">
                  <c:v>2.5000000000000074E-3</c:v>
                </c:pt>
                <c:pt idx="11">
                  <c:v>3.6111111111111157E-3</c:v>
                </c:pt>
                <c:pt idx="12">
                  <c:v>6.9444444444444467E-3</c:v>
                </c:pt>
                <c:pt idx="13">
                  <c:v>1.2499999999999999E-2</c:v>
                </c:pt>
                <c:pt idx="14">
                  <c:v>2.0277777777777777E-2</c:v>
                </c:pt>
                <c:pt idx="15">
                  <c:v>3.0277777777777772E-2</c:v>
                </c:pt>
                <c:pt idx="16">
                  <c:v>4.2499999999999989E-2</c:v>
                </c:pt>
                <c:pt idx="17">
                  <c:v>5.6944444444444429E-2</c:v>
                </c:pt>
                <c:pt idx="18">
                  <c:v>7.3611111111111072E-2</c:v>
                </c:pt>
                <c:pt idx="19">
                  <c:v>9.2499999999999957E-2</c:v>
                </c:pt>
                <c:pt idx="20">
                  <c:v>0.11361111111111107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9E9-4C33-8849-89836EA6A931}"/>
            </c:ext>
          </c:extLst>
        </c:ser>
        <c:ser>
          <c:idx val="10"/>
          <c:order val="10"/>
          <c:tx>
            <c:strRef>
              <c:f>曲面图!$A$13</c:f>
              <c:strCache>
                <c:ptCount val="1"/>
                <c:pt idx="0">
                  <c:v>0.0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曲面图!$B$13:$V$13</c:f>
              <c:numCache>
                <c:formatCode>0.00</c:formatCode>
                <c:ptCount val="21"/>
                <c:pt idx="0">
                  <c:v>0.1111111111111111</c:v>
                </c:pt>
                <c:pt idx="1">
                  <c:v>9.0000000000000011E-2</c:v>
                </c:pt>
                <c:pt idx="2">
                  <c:v>7.1111111111111125E-2</c:v>
                </c:pt>
                <c:pt idx="3">
                  <c:v>5.4444444444444455E-2</c:v>
                </c:pt>
                <c:pt idx="4">
                  <c:v>4.0000000000000008E-2</c:v>
                </c:pt>
                <c:pt idx="5">
                  <c:v>2.777777777777779E-2</c:v>
                </c:pt>
                <c:pt idx="6">
                  <c:v>1.7777777777777792E-2</c:v>
                </c:pt>
                <c:pt idx="7">
                  <c:v>1.0000000000000011E-2</c:v>
                </c:pt>
                <c:pt idx="8">
                  <c:v>4.4444444444444514E-3</c:v>
                </c:pt>
                <c:pt idx="9">
                  <c:v>1.1111111111111144E-3</c:v>
                </c:pt>
                <c:pt idx="10">
                  <c:v>6.9547470213983523E-33</c:v>
                </c:pt>
                <c:pt idx="11">
                  <c:v>1.1111111111111083E-3</c:v>
                </c:pt>
                <c:pt idx="12">
                  <c:v>4.4444444444444392E-3</c:v>
                </c:pt>
                <c:pt idx="13">
                  <c:v>9.9999999999999915E-3</c:v>
                </c:pt>
                <c:pt idx="14">
                  <c:v>1.7777777777777767E-2</c:v>
                </c:pt>
                <c:pt idx="15">
                  <c:v>2.7777777777777766E-2</c:v>
                </c:pt>
                <c:pt idx="16">
                  <c:v>3.999999999999998E-2</c:v>
                </c:pt>
                <c:pt idx="17">
                  <c:v>5.444444444444442E-2</c:v>
                </c:pt>
                <c:pt idx="18">
                  <c:v>7.1111111111111069E-2</c:v>
                </c:pt>
                <c:pt idx="19">
                  <c:v>8.9999999999999955E-2</c:v>
                </c:pt>
                <c:pt idx="20">
                  <c:v>0.11111111111111106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E9-4C33-8849-89836EA6A931}"/>
            </c:ext>
          </c:extLst>
        </c:ser>
        <c:ser>
          <c:idx val="11"/>
          <c:order val="11"/>
          <c:tx>
            <c:strRef>
              <c:f>曲面图!$A$14</c:f>
              <c:strCache>
                <c:ptCount val="1"/>
                <c:pt idx="0">
                  <c:v>0.1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曲面图!$B$14:$V$14</c:f>
              <c:numCache>
                <c:formatCode>0.00</c:formatCode>
                <c:ptCount val="21"/>
                <c:pt idx="0">
                  <c:v>0.11361111111111109</c:v>
                </c:pt>
                <c:pt idx="1">
                  <c:v>9.2499999999999999E-2</c:v>
                </c:pt>
                <c:pt idx="2">
                  <c:v>7.3611111111111113E-2</c:v>
                </c:pt>
                <c:pt idx="3">
                  <c:v>5.694444444444445E-2</c:v>
                </c:pt>
                <c:pt idx="4">
                  <c:v>4.2500000000000003E-2</c:v>
                </c:pt>
                <c:pt idx="5">
                  <c:v>3.0277777777777785E-2</c:v>
                </c:pt>
                <c:pt idx="6">
                  <c:v>2.0277777777777783E-2</c:v>
                </c:pt>
                <c:pt idx="7">
                  <c:v>1.2500000000000004E-2</c:v>
                </c:pt>
                <c:pt idx="8">
                  <c:v>6.9444444444444449E-3</c:v>
                </c:pt>
                <c:pt idx="9">
                  <c:v>3.6111111111111079E-3</c:v>
                </c:pt>
                <c:pt idx="10">
                  <c:v>2.4999999999999935E-3</c:v>
                </c:pt>
                <c:pt idx="11">
                  <c:v>3.6111111111111018E-3</c:v>
                </c:pt>
                <c:pt idx="12">
                  <c:v>6.9444444444444328E-3</c:v>
                </c:pt>
                <c:pt idx="13">
                  <c:v>1.2499999999999985E-2</c:v>
                </c:pt>
                <c:pt idx="14">
                  <c:v>2.0277777777777763E-2</c:v>
                </c:pt>
                <c:pt idx="15">
                  <c:v>3.0277777777777758E-2</c:v>
                </c:pt>
                <c:pt idx="16">
                  <c:v>4.2499999999999975E-2</c:v>
                </c:pt>
                <c:pt idx="17">
                  <c:v>5.6944444444444416E-2</c:v>
                </c:pt>
                <c:pt idx="18">
                  <c:v>7.3611111111111058E-2</c:v>
                </c:pt>
                <c:pt idx="19">
                  <c:v>9.2499999999999943E-2</c:v>
                </c:pt>
                <c:pt idx="20">
                  <c:v>0.11361111111111105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9E9-4C33-8849-89836EA6A931}"/>
            </c:ext>
          </c:extLst>
        </c:ser>
        <c:ser>
          <c:idx val="12"/>
          <c:order val="12"/>
          <c:tx>
            <c:strRef>
              <c:f>曲面图!$A$15</c:f>
              <c:strCache>
                <c:ptCount val="1"/>
                <c:pt idx="0">
                  <c:v>0.2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曲面图!$B$15:$V$15</c:f>
              <c:numCache>
                <c:formatCode>0.00</c:formatCode>
                <c:ptCount val="21"/>
                <c:pt idx="0">
                  <c:v>0.12111111111111109</c:v>
                </c:pt>
                <c:pt idx="1">
                  <c:v>0.1</c:v>
                </c:pt>
                <c:pt idx="2">
                  <c:v>8.1111111111111106E-2</c:v>
                </c:pt>
                <c:pt idx="3">
                  <c:v>6.4444444444444443E-2</c:v>
                </c:pt>
                <c:pt idx="4">
                  <c:v>4.9999999999999996E-2</c:v>
                </c:pt>
                <c:pt idx="5">
                  <c:v>3.7777777777777778E-2</c:v>
                </c:pt>
                <c:pt idx="6">
                  <c:v>2.777777777777778E-2</c:v>
                </c:pt>
                <c:pt idx="7">
                  <c:v>1.9999999999999997E-2</c:v>
                </c:pt>
                <c:pt idx="8">
                  <c:v>1.444444444444444E-2</c:v>
                </c:pt>
                <c:pt idx="9">
                  <c:v>1.1111111111111103E-2</c:v>
                </c:pt>
                <c:pt idx="10">
                  <c:v>9.9999999999999881E-3</c:v>
                </c:pt>
                <c:pt idx="11">
                  <c:v>1.1111111111111096E-2</c:v>
                </c:pt>
                <c:pt idx="12">
                  <c:v>1.4444444444444426E-2</c:v>
                </c:pt>
                <c:pt idx="13">
                  <c:v>1.999999999999998E-2</c:v>
                </c:pt>
                <c:pt idx="14">
                  <c:v>2.7777777777777755E-2</c:v>
                </c:pt>
                <c:pt idx="15">
                  <c:v>3.7777777777777757E-2</c:v>
                </c:pt>
                <c:pt idx="16">
                  <c:v>4.9999999999999968E-2</c:v>
                </c:pt>
                <c:pt idx="17">
                  <c:v>6.4444444444444415E-2</c:v>
                </c:pt>
                <c:pt idx="18">
                  <c:v>8.1111111111111051E-2</c:v>
                </c:pt>
                <c:pt idx="19">
                  <c:v>9.999999999999995E-2</c:v>
                </c:pt>
                <c:pt idx="20">
                  <c:v>0.12111111111111106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9E9-4C33-8849-89836EA6A931}"/>
            </c:ext>
          </c:extLst>
        </c:ser>
        <c:ser>
          <c:idx val="13"/>
          <c:order val="13"/>
          <c:tx>
            <c:strRef>
              <c:f>曲面图!$A$16</c:f>
              <c:strCache>
                <c:ptCount val="1"/>
                <c:pt idx="0">
                  <c:v>0.3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曲面图!$B$16:$V$16</c:f>
              <c:numCache>
                <c:formatCode>0.00</c:formatCode>
                <c:ptCount val="21"/>
                <c:pt idx="0">
                  <c:v>0.1336111111111111</c:v>
                </c:pt>
                <c:pt idx="1">
                  <c:v>0.11249999999999999</c:v>
                </c:pt>
                <c:pt idx="2">
                  <c:v>9.3611111111111103E-2</c:v>
                </c:pt>
                <c:pt idx="3">
                  <c:v>7.694444444444444E-2</c:v>
                </c:pt>
                <c:pt idx="4">
                  <c:v>6.2499999999999986E-2</c:v>
                </c:pt>
                <c:pt idx="5">
                  <c:v>5.0277777777777768E-2</c:v>
                </c:pt>
                <c:pt idx="6">
                  <c:v>4.0277777777777773E-2</c:v>
                </c:pt>
                <c:pt idx="7">
                  <c:v>3.2499999999999994E-2</c:v>
                </c:pt>
                <c:pt idx="8">
                  <c:v>2.6944444444444434E-2</c:v>
                </c:pt>
                <c:pt idx="9">
                  <c:v>2.3611111111111097E-2</c:v>
                </c:pt>
                <c:pt idx="10">
                  <c:v>2.2499999999999982E-2</c:v>
                </c:pt>
                <c:pt idx="11">
                  <c:v>2.361111111111109E-2</c:v>
                </c:pt>
                <c:pt idx="12">
                  <c:v>2.694444444444442E-2</c:v>
                </c:pt>
                <c:pt idx="13">
                  <c:v>3.2499999999999973E-2</c:v>
                </c:pt>
                <c:pt idx="14">
                  <c:v>4.0277777777777746E-2</c:v>
                </c:pt>
                <c:pt idx="15">
                  <c:v>5.0277777777777748E-2</c:v>
                </c:pt>
                <c:pt idx="16">
                  <c:v>6.2499999999999958E-2</c:v>
                </c:pt>
                <c:pt idx="17">
                  <c:v>7.6944444444444399E-2</c:v>
                </c:pt>
                <c:pt idx="18">
                  <c:v>9.3611111111111048E-2</c:v>
                </c:pt>
                <c:pt idx="19">
                  <c:v>0.11249999999999993</c:v>
                </c:pt>
                <c:pt idx="20">
                  <c:v>0.13361111111111104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9E9-4C33-8849-89836EA6A931}"/>
            </c:ext>
          </c:extLst>
        </c:ser>
        <c:ser>
          <c:idx val="14"/>
          <c:order val="14"/>
          <c:tx>
            <c:strRef>
              <c:f>曲面图!$A$17</c:f>
              <c:strCache>
                <c:ptCount val="1"/>
                <c:pt idx="0">
                  <c:v>0.4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曲面图!$B$17:$V$17</c:f>
              <c:numCache>
                <c:formatCode>0.00</c:formatCode>
                <c:ptCount val="21"/>
                <c:pt idx="0">
                  <c:v>0.15111111111111108</c:v>
                </c:pt>
                <c:pt idx="1">
                  <c:v>0.13</c:v>
                </c:pt>
                <c:pt idx="2">
                  <c:v>0.1111111111111111</c:v>
                </c:pt>
                <c:pt idx="3">
                  <c:v>9.4444444444444442E-2</c:v>
                </c:pt>
                <c:pt idx="4">
                  <c:v>7.9999999999999988E-2</c:v>
                </c:pt>
                <c:pt idx="5">
                  <c:v>6.777777777777777E-2</c:v>
                </c:pt>
                <c:pt idx="6">
                  <c:v>5.7777777777777775E-2</c:v>
                </c:pt>
                <c:pt idx="7">
                  <c:v>4.9999999999999989E-2</c:v>
                </c:pt>
                <c:pt idx="8">
                  <c:v>4.4444444444444432E-2</c:v>
                </c:pt>
                <c:pt idx="9">
                  <c:v>4.1111111111111091E-2</c:v>
                </c:pt>
                <c:pt idx="10">
                  <c:v>3.999999999999998E-2</c:v>
                </c:pt>
                <c:pt idx="11">
                  <c:v>4.1111111111111091E-2</c:v>
                </c:pt>
                <c:pt idx="12">
                  <c:v>4.4444444444444418E-2</c:v>
                </c:pt>
                <c:pt idx="13">
                  <c:v>4.9999999999999975E-2</c:v>
                </c:pt>
                <c:pt idx="14">
                  <c:v>5.7777777777777747E-2</c:v>
                </c:pt>
                <c:pt idx="15">
                  <c:v>6.7777777777777742E-2</c:v>
                </c:pt>
                <c:pt idx="16">
                  <c:v>7.999999999999996E-2</c:v>
                </c:pt>
                <c:pt idx="17">
                  <c:v>9.44444444444444E-2</c:v>
                </c:pt>
                <c:pt idx="18">
                  <c:v>0.11111111111111105</c:v>
                </c:pt>
                <c:pt idx="19">
                  <c:v>0.12999999999999995</c:v>
                </c:pt>
                <c:pt idx="20">
                  <c:v>0.15111111111111103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9E9-4C33-8849-89836EA6A931}"/>
            </c:ext>
          </c:extLst>
        </c:ser>
        <c:ser>
          <c:idx val="15"/>
          <c:order val="15"/>
          <c:tx>
            <c:strRef>
              <c:f>曲面图!$A$18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曲面图!$B$18:$V$18</c:f>
              <c:numCache>
                <c:formatCode>0.00</c:formatCode>
                <c:ptCount val="21"/>
                <c:pt idx="0">
                  <c:v>0.17361111111111108</c:v>
                </c:pt>
                <c:pt idx="1">
                  <c:v>0.15249999999999997</c:v>
                </c:pt>
                <c:pt idx="2">
                  <c:v>0.1336111111111111</c:v>
                </c:pt>
                <c:pt idx="3">
                  <c:v>0.11694444444444443</c:v>
                </c:pt>
                <c:pt idx="4">
                  <c:v>0.10249999999999998</c:v>
                </c:pt>
                <c:pt idx="5">
                  <c:v>9.0277777777777762E-2</c:v>
                </c:pt>
                <c:pt idx="6">
                  <c:v>8.0277777777777767E-2</c:v>
                </c:pt>
                <c:pt idx="7">
                  <c:v>7.2499999999999981E-2</c:v>
                </c:pt>
                <c:pt idx="8">
                  <c:v>6.6944444444444418E-2</c:v>
                </c:pt>
                <c:pt idx="9">
                  <c:v>6.3611111111111091E-2</c:v>
                </c:pt>
                <c:pt idx="10">
                  <c:v>6.2499999999999972E-2</c:v>
                </c:pt>
                <c:pt idx="11">
                  <c:v>6.3611111111111077E-2</c:v>
                </c:pt>
                <c:pt idx="12">
                  <c:v>6.6944444444444418E-2</c:v>
                </c:pt>
                <c:pt idx="13">
                  <c:v>7.2499999999999967E-2</c:v>
                </c:pt>
                <c:pt idx="14">
                  <c:v>8.027777777777774E-2</c:v>
                </c:pt>
                <c:pt idx="15">
                  <c:v>9.0277777777777735E-2</c:v>
                </c:pt>
                <c:pt idx="16">
                  <c:v>0.10249999999999995</c:v>
                </c:pt>
                <c:pt idx="17">
                  <c:v>0.11694444444444439</c:v>
                </c:pt>
                <c:pt idx="18">
                  <c:v>0.13361111111111104</c:v>
                </c:pt>
                <c:pt idx="19">
                  <c:v>0.15249999999999991</c:v>
                </c:pt>
                <c:pt idx="20">
                  <c:v>0.17361111111111105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9E9-4C33-8849-89836EA6A931}"/>
            </c:ext>
          </c:extLst>
        </c:ser>
        <c:ser>
          <c:idx val="16"/>
          <c:order val="16"/>
          <c:tx>
            <c:strRef>
              <c:f>曲面图!$A$19</c:f>
              <c:strCache>
                <c:ptCount val="1"/>
                <c:pt idx="0">
                  <c:v>0.6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曲面图!$B$19:$V$19</c:f>
              <c:numCache>
                <c:formatCode>0.00</c:formatCode>
                <c:ptCount val="21"/>
                <c:pt idx="0">
                  <c:v>0.20111111111111107</c:v>
                </c:pt>
                <c:pt idx="1">
                  <c:v>0.17999999999999997</c:v>
                </c:pt>
                <c:pt idx="2">
                  <c:v>0.16111111111111109</c:v>
                </c:pt>
                <c:pt idx="3">
                  <c:v>0.1444444444444444</c:v>
                </c:pt>
                <c:pt idx="4">
                  <c:v>0.12999999999999995</c:v>
                </c:pt>
                <c:pt idx="5">
                  <c:v>0.11777777777777775</c:v>
                </c:pt>
                <c:pt idx="6">
                  <c:v>0.10777777777777775</c:v>
                </c:pt>
                <c:pt idx="7">
                  <c:v>9.9999999999999964E-2</c:v>
                </c:pt>
                <c:pt idx="8">
                  <c:v>9.44444444444444E-2</c:v>
                </c:pt>
                <c:pt idx="9">
                  <c:v>9.1111111111111073E-2</c:v>
                </c:pt>
                <c:pt idx="10">
                  <c:v>8.9999999999999955E-2</c:v>
                </c:pt>
                <c:pt idx="11">
                  <c:v>9.1111111111111059E-2</c:v>
                </c:pt>
                <c:pt idx="12">
                  <c:v>9.44444444444444E-2</c:v>
                </c:pt>
                <c:pt idx="13">
                  <c:v>9.999999999999995E-2</c:v>
                </c:pt>
                <c:pt idx="14">
                  <c:v>0.10777777777777772</c:v>
                </c:pt>
                <c:pt idx="15">
                  <c:v>0.11777777777777772</c:v>
                </c:pt>
                <c:pt idx="16">
                  <c:v>0.12999999999999995</c:v>
                </c:pt>
                <c:pt idx="17">
                  <c:v>0.14444444444444438</c:v>
                </c:pt>
                <c:pt idx="18">
                  <c:v>0.16111111111111104</c:v>
                </c:pt>
                <c:pt idx="19">
                  <c:v>0.17999999999999991</c:v>
                </c:pt>
                <c:pt idx="20">
                  <c:v>0.20111111111111102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9E9-4C33-8849-89836EA6A931}"/>
            </c:ext>
          </c:extLst>
        </c:ser>
        <c:ser>
          <c:idx val="17"/>
          <c:order val="17"/>
          <c:tx>
            <c:strRef>
              <c:f>曲面图!$A$20</c:f>
              <c:strCache>
                <c:ptCount val="1"/>
                <c:pt idx="0">
                  <c:v>0.7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曲面图!$B$20:$V$20</c:f>
              <c:numCache>
                <c:formatCode>0.00</c:formatCode>
                <c:ptCount val="21"/>
                <c:pt idx="0">
                  <c:v>0.23361111111111105</c:v>
                </c:pt>
                <c:pt idx="1">
                  <c:v>0.21249999999999997</c:v>
                </c:pt>
                <c:pt idx="2">
                  <c:v>0.19361111111111107</c:v>
                </c:pt>
                <c:pt idx="3">
                  <c:v>0.1769444444444444</c:v>
                </c:pt>
                <c:pt idx="4">
                  <c:v>0.16249999999999995</c:v>
                </c:pt>
                <c:pt idx="5">
                  <c:v>0.15027777777777773</c:v>
                </c:pt>
                <c:pt idx="6">
                  <c:v>0.14027777777777772</c:v>
                </c:pt>
                <c:pt idx="7">
                  <c:v>0.13249999999999995</c:v>
                </c:pt>
                <c:pt idx="8">
                  <c:v>0.12694444444444439</c:v>
                </c:pt>
                <c:pt idx="9">
                  <c:v>0.12361111111111106</c:v>
                </c:pt>
                <c:pt idx="10">
                  <c:v>0.12249999999999994</c:v>
                </c:pt>
                <c:pt idx="11">
                  <c:v>0.12361111111111105</c:v>
                </c:pt>
                <c:pt idx="12">
                  <c:v>0.12694444444444439</c:v>
                </c:pt>
                <c:pt idx="13">
                  <c:v>0.13249999999999992</c:v>
                </c:pt>
                <c:pt idx="14">
                  <c:v>0.14027777777777772</c:v>
                </c:pt>
                <c:pt idx="15">
                  <c:v>0.1502777777777777</c:v>
                </c:pt>
                <c:pt idx="16">
                  <c:v>0.16249999999999992</c:v>
                </c:pt>
                <c:pt idx="17">
                  <c:v>0.17694444444444435</c:v>
                </c:pt>
                <c:pt idx="18">
                  <c:v>0.19361111111111101</c:v>
                </c:pt>
                <c:pt idx="19">
                  <c:v>0.21249999999999991</c:v>
                </c:pt>
                <c:pt idx="20">
                  <c:v>0.23361111111111099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9E9-4C33-8849-89836EA6A931}"/>
            </c:ext>
          </c:extLst>
        </c:ser>
        <c:ser>
          <c:idx val="18"/>
          <c:order val="18"/>
          <c:tx>
            <c:strRef>
              <c:f>曲面图!$A$21</c:f>
              <c:strCache>
                <c:ptCount val="1"/>
                <c:pt idx="0">
                  <c:v>0.8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曲面图!$B$21:$V$21</c:f>
              <c:numCache>
                <c:formatCode>0.00</c:formatCode>
                <c:ptCount val="21"/>
                <c:pt idx="0">
                  <c:v>0.27111111111111103</c:v>
                </c:pt>
                <c:pt idx="1">
                  <c:v>0.24999999999999994</c:v>
                </c:pt>
                <c:pt idx="2">
                  <c:v>0.23111111111111104</c:v>
                </c:pt>
                <c:pt idx="3">
                  <c:v>0.21444444444444438</c:v>
                </c:pt>
                <c:pt idx="4">
                  <c:v>0.19999999999999993</c:v>
                </c:pt>
                <c:pt idx="5">
                  <c:v>0.18777777777777771</c:v>
                </c:pt>
                <c:pt idx="6">
                  <c:v>0.1777777777777777</c:v>
                </c:pt>
                <c:pt idx="7">
                  <c:v>0.16999999999999993</c:v>
                </c:pt>
                <c:pt idx="8">
                  <c:v>0.16444444444444437</c:v>
                </c:pt>
                <c:pt idx="9">
                  <c:v>0.16111111111111104</c:v>
                </c:pt>
                <c:pt idx="10">
                  <c:v>0.15999999999999992</c:v>
                </c:pt>
                <c:pt idx="11">
                  <c:v>0.16111111111111104</c:v>
                </c:pt>
                <c:pt idx="12">
                  <c:v>0.16444444444444437</c:v>
                </c:pt>
                <c:pt idx="13">
                  <c:v>0.1699999999999999</c:v>
                </c:pt>
                <c:pt idx="14">
                  <c:v>0.1777777777777777</c:v>
                </c:pt>
                <c:pt idx="15">
                  <c:v>0.18777777777777768</c:v>
                </c:pt>
                <c:pt idx="16">
                  <c:v>0.1999999999999999</c:v>
                </c:pt>
                <c:pt idx="17">
                  <c:v>0.21444444444444433</c:v>
                </c:pt>
                <c:pt idx="18">
                  <c:v>0.23111111111111099</c:v>
                </c:pt>
                <c:pt idx="19">
                  <c:v>0.24999999999999989</c:v>
                </c:pt>
                <c:pt idx="20">
                  <c:v>0.27111111111111097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9E9-4C33-8849-89836EA6A931}"/>
            </c:ext>
          </c:extLst>
        </c:ser>
        <c:ser>
          <c:idx val="19"/>
          <c:order val="19"/>
          <c:tx>
            <c:strRef>
              <c:f>曲面图!$A$22</c:f>
              <c:strCache>
                <c:ptCount val="1"/>
                <c:pt idx="0">
                  <c:v>0.9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曲面图!$B$22:$V$22</c:f>
              <c:numCache>
                <c:formatCode>0.00</c:formatCode>
                <c:ptCount val="21"/>
                <c:pt idx="0">
                  <c:v>0.31361111111111101</c:v>
                </c:pt>
                <c:pt idx="1">
                  <c:v>0.29249999999999993</c:v>
                </c:pt>
                <c:pt idx="2">
                  <c:v>0.27361111111111103</c:v>
                </c:pt>
                <c:pt idx="3">
                  <c:v>0.25694444444444436</c:v>
                </c:pt>
                <c:pt idx="4">
                  <c:v>0.24249999999999991</c:v>
                </c:pt>
                <c:pt idx="5">
                  <c:v>0.23027777777777769</c:v>
                </c:pt>
                <c:pt idx="6">
                  <c:v>0.22027777777777768</c:v>
                </c:pt>
                <c:pt idx="7">
                  <c:v>0.21249999999999991</c:v>
                </c:pt>
                <c:pt idx="8">
                  <c:v>0.20694444444444435</c:v>
                </c:pt>
                <c:pt idx="9">
                  <c:v>0.20361111111111102</c:v>
                </c:pt>
                <c:pt idx="10">
                  <c:v>0.2024999999999999</c:v>
                </c:pt>
                <c:pt idx="11">
                  <c:v>0.20361111111111102</c:v>
                </c:pt>
                <c:pt idx="12">
                  <c:v>0.20694444444444435</c:v>
                </c:pt>
                <c:pt idx="13">
                  <c:v>0.21249999999999988</c:v>
                </c:pt>
                <c:pt idx="14">
                  <c:v>0.22027777777777768</c:v>
                </c:pt>
                <c:pt idx="15">
                  <c:v>0.23027777777777766</c:v>
                </c:pt>
                <c:pt idx="16">
                  <c:v>0.24249999999999988</c:v>
                </c:pt>
                <c:pt idx="17">
                  <c:v>0.25694444444444431</c:v>
                </c:pt>
                <c:pt idx="18">
                  <c:v>0.27361111111111097</c:v>
                </c:pt>
                <c:pt idx="19">
                  <c:v>0.29249999999999987</c:v>
                </c:pt>
                <c:pt idx="20">
                  <c:v>0.31361111111111095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9E9-4C33-8849-89836EA6A931}"/>
            </c:ext>
          </c:extLst>
        </c:ser>
        <c:ser>
          <c:idx val="20"/>
          <c:order val="20"/>
          <c:tx>
            <c:strRef>
              <c:f>曲面图!$A$23</c:f>
              <c:strCache>
                <c:ptCount val="1"/>
                <c:pt idx="0">
                  <c:v>1.0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cat>
            <c:numRef>
              <c:f>曲面图!$B$2:$V$2</c:f>
              <c:numCache>
                <c:formatCode>0.0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-0.70000000000000007</c:v>
                </c:pt>
                <c:pt idx="4">
                  <c:v>-0.60000000000000009</c:v>
                </c:pt>
                <c:pt idx="5">
                  <c:v>-0.50000000000000011</c:v>
                </c:pt>
                <c:pt idx="6">
                  <c:v>-0.40000000000000013</c:v>
                </c:pt>
                <c:pt idx="7">
                  <c:v>-0.30000000000000016</c:v>
                </c:pt>
                <c:pt idx="8">
                  <c:v>-0.20000000000000015</c:v>
                </c:pt>
                <c:pt idx="9">
                  <c:v>-0.10000000000000014</c:v>
                </c:pt>
                <c:pt idx="10">
                  <c:v>-1.3877787807814457E-16</c:v>
                </c:pt>
                <c:pt idx="11">
                  <c:v>9.9999999999999867E-2</c:v>
                </c:pt>
                <c:pt idx="12">
                  <c:v>0.19999999999999987</c:v>
                </c:pt>
                <c:pt idx="13">
                  <c:v>0.29999999999999988</c:v>
                </c:pt>
                <c:pt idx="14">
                  <c:v>0.39999999999999991</c:v>
                </c:pt>
                <c:pt idx="15">
                  <c:v>0.49999999999999989</c:v>
                </c:pt>
                <c:pt idx="16">
                  <c:v>0.59999999999999987</c:v>
                </c:pt>
                <c:pt idx="17">
                  <c:v>0.69999999999999984</c:v>
                </c:pt>
                <c:pt idx="18">
                  <c:v>0.79999999999999982</c:v>
                </c:pt>
                <c:pt idx="19">
                  <c:v>0.8999999999999998</c:v>
                </c:pt>
                <c:pt idx="20">
                  <c:v>0.99999999999999978</c:v>
                </c:pt>
              </c:numCache>
            </c:numRef>
          </c:cat>
          <c:val>
            <c:numRef>
              <c:f>曲面图!$B$23:$V$23</c:f>
              <c:numCache>
                <c:formatCode>0.00</c:formatCode>
                <c:ptCount val="21"/>
                <c:pt idx="0">
                  <c:v>0.36111111111111099</c:v>
                </c:pt>
                <c:pt idx="1">
                  <c:v>0.33999999999999991</c:v>
                </c:pt>
                <c:pt idx="2">
                  <c:v>0.32111111111111101</c:v>
                </c:pt>
                <c:pt idx="3">
                  <c:v>0.30444444444444435</c:v>
                </c:pt>
                <c:pt idx="4">
                  <c:v>0.28999999999999992</c:v>
                </c:pt>
                <c:pt idx="5">
                  <c:v>0.27777777777777768</c:v>
                </c:pt>
                <c:pt idx="6">
                  <c:v>0.26777777777777767</c:v>
                </c:pt>
                <c:pt idx="7">
                  <c:v>0.2599999999999999</c:v>
                </c:pt>
                <c:pt idx="8">
                  <c:v>0.25444444444444436</c:v>
                </c:pt>
                <c:pt idx="9">
                  <c:v>0.25111111111111101</c:v>
                </c:pt>
                <c:pt idx="10">
                  <c:v>0.24999999999999989</c:v>
                </c:pt>
                <c:pt idx="11">
                  <c:v>0.25111111111111101</c:v>
                </c:pt>
                <c:pt idx="12">
                  <c:v>0.25444444444444431</c:v>
                </c:pt>
                <c:pt idx="13">
                  <c:v>0.2599999999999999</c:v>
                </c:pt>
                <c:pt idx="14">
                  <c:v>0.26777777777777767</c:v>
                </c:pt>
                <c:pt idx="15">
                  <c:v>0.27777777777777768</c:v>
                </c:pt>
                <c:pt idx="16">
                  <c:v>0.28999999999999987</c:v>
                </c:pt>
                <c:pt idx="17">
                  <c:v>0.3044444444444443</c:v>
                </c:pt>
                <c:pt idx="18">
                  <c:v>0.32111111111111096</c:v>
                </c:pt>
                <c:pt idx="19">
                  <c:v>0.33999999999999986</c:v>
                </c:pt>
                <c:pt idx="20">
                  <c:v>0.36111111111111094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9E9-4C33-8849-89836EA6A931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562525280"/>
        <c:axId val="562524296"/>
        <c:axId val="723840192"/>
      </c:surface3DChart>
      <c:catAx>
        <c:axId val="562525280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62524296"/>
        <c:crosses val="autoZero"/>
        <c:auto val="1"/>
        <c:lblAlgn val="ctr"/>
        <c:lblOffset val="100"/>
        <c:noMultiLvlLbl val="0"/>
      </c:catAx>
      <c:valAx>
        <c:axId val="56252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62525280"/>
        <c:crosses val="autoZero"/>
        <c:crossBetween val="midCat"/>
      </c:valAx>
      <c:serAx>
        <c:axId val="7238401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562524296"/>
        <c:crosses val="autoZero"/>
      </c:ser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en-US" altLang="zh-CN" sz="1400" b="1"/>
              <a:t>2018</a:t>
            </a:r>
            <a:r>
              <a:rPr lang="zh-CN" altLang="en-US" sz="1400" b="1"/>
              <a:t>年销量、同比环比之组合图</a:t>
            </a:r>
            <a:endParaRPr lang="zh-C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组合图!$C$2</c:f>
              <c:strCache>
                <c:ptCount val="1"/>
                <c:pt idx="0">
                  <c:v>2018年销量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6350" cap="flat" cmpd="sng" algn="ctr">
              <a:solidFill>
                <a:schemeClr val="accent6"/>
              </a:solidFill>
              <a:prstDash val="solid"/>
              <a:miter lim="800000"/>
            </a:ln>
            <a:effectLst/>
          </c:spPr>
          <c:invertIfNegative val="0"/>
          <c:cat>
            <c:strRef>
              <c:f>组合图!$A$3:$A$8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组合图!$C$3:$C$8</c:f>
              <c:numCache>
                <c:formatCode>General</c:formatCode>
                <c:ptCount val="6"/>
                <c:pt idx="0">
                  <c:v>160</c:v>
                </c:pt>
                <c:pt idx="1">
                  <c:v>180</c:v>
                </c:pt>
                <c:pt idx="2">
                  <c:v>170</c:v>
                </c:pt>
                <c:pt idx="3">
                  <c:v>150</c:v>
                </c:pt>
                <c:pt idx="4">
                  <c:v>170</c:v>
                </c:pt>
                <c:pt idx="5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1-4A2C-A8FB-F71C803D5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775584"/>
        <c:axId val="469984784"/>
      </c:barChart>
      <c:lineChart>
        <c:grouping val="standard"/>
        <c:varyColors val="0"/>
        <c:ser>
          <c:idx val="1"/>
          <c:order val="1"/>
          <c:tx>
            <c:strRef>
              <c:f>组合图!$D$2</c:f>
              <c:strCache>
                <c:ptCount val="1"/>
                <c:pt idx="0">
                  <c:v>2018年同比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组合图!$A$3:$A$8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组合图!$D$3:$D$8</c:f>
              <c:numCache>
                <c:formatCode>0%</c:formatCode>
                <c:ptCount val="6"/>
                <c:pt idx="0">
                  <c:v>-5.8823529411764719E-2</c:v>
                </c:pt>
                <c:pt idx="1">
                  <c:v>0.125</c:v>
                </c:pt>
                <c:pt idx="2">
                  <c:v>-0.17073170731707321</c:v>
                </c:pt>
                <c:pt idx="3">
                  <c:v>6.7114093959732557E-3</c:v>
                </c:pt>
                <c:pt idx="4">
                  <c:v>-5.555555555555558E-2</c:v>
                </c:pt>
                <c:pt idx="5">
                  <c:v>5.1282051282051322E-2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F1-4A2C-A8FB-F71C803D517F}"/>
            </c:ext>
          </c:extLst>
        </c:ser>
        <c:ser>
          <c:idx val="2"/>
          <c:order val="2"/>
          <c:tx>
            <c:strRef>
              <c:f>组合图!$E$2</c:f>
              <c:strCache>
                <c:ptCount val="1"/>
                <c:pt idx="0">
                  <c:v>2018年环比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组合图!$A$3:$A$8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组合图!$E$3:$E$8</c:f>
              <c:numCache>
                <c:formatCode>0%</c:formatCode>
                <c:ptCount val="6"/>
                <c:pt idx="1">
                  <c:v>0.125</c:v>
                </c:pt>
                <c:pt idx="2">
                  <c:v>-5.555555555555558E-2</c:v>
                </c:pt>
                <c:pt idx="3">
                  <c:v>-0.11764705882352944</c:v>
                </c:pt>
                <c:pt idx="4">
                  <c:v>0.1333333333333333</c:v>
                </c:pt>
                <c:pt idx="5">
                  <c:v>0.20588235294117641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F1-4A2C-A8FB-F71C803D5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384608"/>
        <c:axId val="808384280"/>
      </c:lineChart>
      <c:catAx>
        <c:axId val="46777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469984784"/>
        <c:crosses val="autoZero"/>
        <c:auto val="1"/>
        <c:lblAlgn val="ctr"/>
        <c:lblOffset val="100"/>
        <c:noMultiLvlLbl val="0"/>
      </c:catAx>
      <c:valAx>
        <c:axId val="469984784"/>
        <c:scaling>
          <c:orientation val="minMax"/>
          <c:min val="-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467775584"/>
        <c:crosses val="autoZero"/>
        <c:crossBetween val="between"/>
      </c:valAx>
      <c:valAx>
        <c:axId val="80838428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808384608"/>
        <c:crosses val="max"/>
        <c:crossBetween val="between"/>
      </c:valAx>
      <c:catAx>
        <c:axId val="808384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08384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宋体" panose="02010600030101010101" pitchFamily="2" charset="-122"/>
          <a:ea typeface="宋体" panose="02010600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3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233362</xdr:colOff>
      <xdr:row>0</xdr:row>
      <xdr:rowOff>185736</xdr:rowOff>
    </xdr:from>
    <xdr:to>
      <xdr:col>11</xdr:col>
      <xdr:colOff>286162</xdr:colOff>
      <xdr:row>12</xdr:row>
      <xdr:rowOff>191136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228600</xdr:colOff>
      <xdr:row>12</xdr:row>
      <xdr:rowOff>219075</xdr:rowOff>
    </xdr:from>
    <xdr:to>
      <xdr:col>11</xdr:col>
      <xdr:colOff>281400</xdr:colOff>
      <xdr:row>23</xdr:row>
      <xdr:rowOff>14925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219075</xdr:colOff>
      <xdr:row>23</xdr:row>
      <xdr:rowOff>47625</xdr:rowOff>
    </xdr:from>
    <xdr:to>
      <xdr:col>11</xdr:col>
      <xdr:colOff>271875</xdr:colOff>
      <xdr:row>35</xdr:row>
      <xdr:rowOff>53025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161925</xdr:colOff>
      <xdr:row>0</xdr:row>
      <xdr:rowOff>180975</xdr:rowOff>
    </xdr:from>
    <xdr:to>
      <xdr:col>20</xdr:col>
      <xdr:colOff>214725</xdr:colOff>
      <xdr:row>12</xdr:row>
      <xdr:rowOff>186375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142875</xdr:colOff>
      <xdr:row>12</xdr:row>
      <xdr:rowOff>200025</xdr:rowOff>
    </xdr:from>
    <xdr:to>
      <xdr:col>20</xdr:col>
      <xdr:colOff>195675</xdr:colOff>
      <xdr:row>22</xdr:row>
      <xdr:rowOff>243525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123825</xdr:colOff>
      <xdr:row>23</xdr:row>
      <xdr:rowOff>47625</xdr:rowOff>
    </xdr:from>
    <xdr:to>
      <xdr:col>20</xdr:col>
      <xdr:colOff>176625</xdr:colOff>
      <xdr:row>35</xdr:row>
      <xdr:rowOff>53025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133350</xdr:colOff>
      <xdr:row>35</xdr:row>
      <xdr:rowOff>38100</xdr:rowOff>
    </xdr:from>
    <xdr:to>
      <xdr:col>20</xdr:col>
      <xdr:colOff>186150</xdr:colOff>
      <xdr:row>47</xdr:row>
      <xdr:rowOff>43500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25</xdr:row>
      <xdr:rowOff>209550</xdr:rowOff>
    </xdr:from>
    <xdr:to>
      <xdr:col>11</xdr:col>
      <xdr:colOff>348075</xdr:colOff>
      <xdr:row>36</xdr:row>
      <xdr:rowOff>5400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171450</xdr:colOff>
      <xdr:row>1</xdr:row>
      <xdr:rowOff>0</xdr:rowOff>
    </xdr:from>
    <xdr:to>
      <xdr:col>11</xdr:col>
      <xdr:colOff>376650</xdr:colOff>
      <xdr:row>14</xdr:row>
      <xdr:rowOff>43500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61912</xdr:colOff>
      <xdr:row>14</xdr:row>
      <xdr:rowOff>242885</xdr:rowOff>
    </xdr:from>
    <xdr:to>
      <xdr:col>18</xdr:col>
      <xdr:colOff>267112</xdr:colOff>
      <xdr:row>25</xdr:row>
      <xdr:rowOff>38735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142875</xdr:colOff>
      <xdr:row>15</xdr:row>
      <xdr:rowOff>19050</xdr:rowOff>
    </xdr:from>
    <xdr:to>
      <xdr:col>11</xdr:col>
      <xdr:colOff>348075</xdr:colOff>
      <xdr:row>25</xdr:row>
      <xdr:rowOff>62550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157163</xdr:colOff>
      <xdr:row>1</xdr:row>
      <xdr:rowOff>14286</xdr:rowOff>
    </xdr:from>
    <xdr:to>
      <xdr:col>8</xdr:col>
      <xdr:colOff>362363</xdr:colOff>
      <xdr:row>14</xdr:row>
      <xdr:rowOff>57786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638175</xdr:colOff>
      <xdr:row>1</xdr:row>
      <xdr:rowOff>9525</xdr:rowOff>
    </xdr:from>
    <xdr:to>
      <xdr:col>14</xdr:col>
      <xdr:colOff>624300</xdr:colOff>
      <xdr:row>14</xdr:row>
      <xdr:rowOff>53025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128586</xdr:colOff>
      <xdr:row>1</xdr:row>
      <xdr:rowOff>4761</xdr:rowOff>
    </xdr:from>
    <xdr:to>
      <xdr:col>9</xdr:col>
      <xdr:colOff>423786</xdr:colOff>
      <xdr:row>14</xdr:row>
      <xdr:rowOff>57786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657225</xdr:colOff>
      <xdr:row>0</xdr:row>
      <xdr:rowOff>180975</xdr:rowOff>
    </xdr:from>
    <xdr:to>
      <xdr:col>17</xdr:col>
      <xdr:colOff>266625</xdr:colOff>
      <xdr:row>14</xdr:row>
      <xdr:rowOff>43500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138111</xdr:colOff>
      <xdr:row>0</xdr:row>
      <xdr:rowOff>185736</xdr:rowOff>
    </xdr:from>
    <xdr:to>
      <xdr:col>9</xdr:col>
      <xdr:colOff>433311</xdr:colOff>
      <xdr:row>14</xdr:row>
      <xdr:rowOff>38736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366712</xdr:colOff>
      <xdr:row>2</xdr:row>
      <xdr:rowOff>52387</xdr:rowOff>
    </xdr:from>
    <xdr:to>
      <xdr:col>10</xdr:col>
      <xdr:colOff>661912</xdr:colOff>
      <xdr:row>16</xdr:row>
      <xdr:rowOff>38737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438150</xdr:colOff>
      <xdr:row>8</xdr:row>
      <xdr:rowOff>57150</xdr:rowOff>
    </xdr:from>
    <xdr:to>
      <xdr:col>2</xdr:col>
      <xdr:colOff>228600</xdr:colOff>
      <xdr:row>10</xdr:row>
      <xdr:rowOff>85725</xdr:rowOff>
    </xdr:to>
    <xdr:sp macro="" textlink="">
      <xdr:nvSpPr>
        <xdr:cNvPr id="3" name="箭头: 下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123950" y="1504950"/>
          <a:ext cx="476250" cy="3905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100208</xdr:colOff>
      <xdr:row>1</xdr:row>
      <xdr:rowOff>42862</xdr:rowOff>
    </xdr:from>
    <xdr:to>
      <xdr:col>10</xdr:col>
      <xdr:colOff>161730</xdr:colOff>
      <xdr:row>13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8</xdr:row>
      <xdr:rowOff>57151</xdr:rowOff>
    </xdr:from>
    <xdr:to>
      <xdr:col>1</xdr:col>
      <xdr:colOff>485775</xdr:colOff>
      <xdr:row>9</xdr:row>
      <xdr:rowOff>142876</xdr:rowOff>
    </xdr:to>
    <xdr:sp macro="" textlink="">
      <xdr:nvSpPr>
        <xdr:cNvPr id="3" name="箭头: 下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695325" y="1504951"/>
          <a:ext cx="476250" cy="2667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90674</xdr:colOff>
      <xdr:row>13</xdr:row>
      <xdr:rowOff>176212</xdr:rowOff>
    </xdr:from>
    <xdr:to>
      <xdr:col>10</xdr:col>
      <xdr:colOff>152400</xdr:colOff>
      <xdr:row>25</xdr:row>
      <xdr:rowOff>171450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17</xdr:row>
      <xdr:rowOff>47626</xdr:rowOff>
    </xdr:from>
    <xdr:to>
      <xdr:col>1</xdr:col>
      <xdr:colOff>485775</xdr:colOff>
      <xdr:row>18</xdr:row>
      <xdr:rowOff>133351</xdr:rowOff>
    </xdr:to>
    <xdr:sp macro="" textlink="">
      <xdr:nvSpPr>
        <xdr:cNvPr id="5" name="箭头: 下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695325" y="3124201"/>
          <a:ext cx="476250" cy="2667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90487</xdr:colOff>
      <xdr:row>1</xdr:row>
      <xdr:rowOff>4762</xdr:rowOff>
    </xdr:from>
    <xdr:to>
      <xdr:col>10</xdr:col>
      <xdr:colOff>385687</xdr:colOff>
      <xdr:row>14</xdr:row>
      <xdr:rowOff>48262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409575</xdr:colOff>
      <xdr:row>0</xdr:row>
      <xdr:rowOff>180975</xdr:rowOff>
    </xdr:from>
    <xdr:to>
      <xdr:col>18</xdr:col>
      <xdr:colOff>18975</xdr:colOff>
      <xdr:row>14</xdr:row>
      <xdr:rowOff>33975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581025</xdr:colOff>
      <xdr:row>3</xdr:row>
      <xdr:rowOff>23812</xdr:rowOff>
    </xdr:from>
    <xdr:to>
      <xdr:col>28</xdr:col>
      <xdr:colOff>114300</xdr:colOff>
      <xdr:row>22</xdr:row>
      <xdr:rowOff>95251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138112</xdr:colOff>
      <xdr:row>1</xdr:row>
      <xdr:rowOff>4762</xdr:rowOff>
    </xdr:from>
    <xdr:to>
      <xdr:col>9</xdr:col>
      <xdr:colOff>433312</xdr:colOff>
      <xdr:row>14</xdr:row>
      <xdr:rowOff>48262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147635</xdr:colOff>
      <xdr:row>1</xdr:row>
      <xdr:rowOff>4760</xdr:rowOff>
    </xdr:from>
    <xdr:to>
      <xdr:col>10</xdr:col>
      <xdr:colOff>442835</xdr:colOff>
      <xdr:row>14</xdr:row>
      <xdr:rowOff>48260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28576</xdr:colOff>
      <xdr:row>8</xdr:row>
      <xdr:rowOff>128588</xdr:rowOff>
    </xdr:from>
    <xdr:to>
      <xdr:col>5</xdr:col>
      <xdr:colOff>506326</xdr:colOff>
      <xdr:row>18</xdr:row>
      <xdr:rowOff>23588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119062</xdr:colOff>
      <xdr:row>8</xdr:row>
      <xdr:rowOff>119063</xdr:rowOff>
    </xdr:from>
    <xdr:to>
      <xdr:col>10</xdr:col>
      <xdr:colOff>615862</xdr:colOff>
      <xdr:row>18</xdr:row>
      <xdr:rowOff>14063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</xdr:colOff>
      <xdr:row>18</xdr:row>
      <xdr:rowOff>119062</xdr:rowOff>
    </xdr:from>
    <xdr:to>
      <xdr:col>5</xdr:col>
      <xdr:colOff>501562</xdr:colOff>
      <xdr:row>28</xdr:row>
      <xdr:rowOff>14062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109537</xdr:colOff>
      <xdr:row>18</xdr:row>
      <xdr:rowOff>109537</xdr:rowOff>
    </xdr:from>
    <xdr:to>
      <xdr:col>10</xdr:col>
      <xdr:colOff>606337</xdr:colOff>
      <xdr:row>28</xdr:row>
      <xdr:rowOff>4537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147635</xdr:colOff>
      <xdr:row>1</xdr:row>
      <xdr:rowOff>4762</xdr:rowOff>
    </xdr:from>
    <xdr:to>
      <xdr:col>11</xdr:col>
      <xdr:colOff>381000</xdr:colOff>
      <xdr:row>14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185735</xdr:colOff>
      <xdr:row>1</xdr:row>
      <xdr:rowOff>0</xdr:rowOff>
    </xdr:from>
    <xdr:to>
      <xdr:col>9</xdr:col>
      <xdr:colOff>476250</xdr:colOff>
      <xdr:row>14</xdr:row>
      <xdr:rowOff>28574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42861</xdr:colOff>
      <xdr:row>8</xdr:row>
      <xdr:rowOff>119062</xdr:rowOff>
    </xdr:from>
    <xdr:to>
      <xdr:col>21</xdr:col>
      <xdr:colOff>319011</xdr:colOff>
      <xdr:row>22</xdr:row>
      <xdr:rowOff>105412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138112</xdr:colOff>
      <xdr:row>1</xdr:row>
      <xdr:rowOff>4762</xdr:rowOff>
    </xdr:from>
    <xdr:to>
      <xdr:col>11</xdr:col>
      <xdr:colOff>433312</xdr:colOff>
      <xdr:row>14</xdr:row>
      <xdr:rowOff>48262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070;&#31821;&#22823;&#32434;/&#20070;&#31821;&#32534;&#20889;-201810/&#22270;&#34920;&#21487;&#35270;&#21270;/&#22270;&#34920;&#21487;&#35270;&#2127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录"/>
      <sheetName val="柱形图"/>
      <sheetName val="折线图"/>
      <sheetName val="饼图-1"/>
      <sheetName val="饼图-2"/>
      <sheetName val="条形图"/>
      <sheetName val="条形图-2"/>
      <sheetName val="条形图-3"/>
      <sheetName val="面积图"/>
      <sheetName val="XY散点图"/>
      <sheetName val="XY散点图-气泡图"/>
      <sheetName val="股价图"/>
      <sheetName val="股价图-2"/>
      <sheetName val="雷达图"/>
      <sheetName val="曲面图"/>
      <sheetName val="组合图"/>
      <sheetName val="树状图"/>
      <sheetName val="旭日图"/>
      <sheetName val="直方图"/>
      <sheetName val="排列图"/>
      <sheetName val="排列图-组合图"/>
      <sheetName val="箱形图"/>
      <sheetName val="瀑布图"/>
      <sheetName val="漏斗图"/>
      <sheetName val="动态图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">
          <cell r="A2" t="str">
            <v>省份</v>
          </cell>
          <cell r="B2" t="str">
            <v>电器</v>
          </cell>
          <cell r="C2" t="str">
            <v>服装</v>
          </cell>
          <cell r="D2" t="str">
            <v>日用品</v>
          </cell>
          <cell r="F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showGridLines="0" tabSelected="1" workbookViewId="0">
      <selection activeCell="B13" sqref="B13"/>
    </sheetView>
  </sheetViews>
  <sheetFormatPr defaultColWidth="7" defaultRowHeight="20.100000000000001" customHeight="1" x14ac:dyDescent="0.25"/>
  <cols>
    <col min="1" max="3" width="9.625" style="1" customWidth="1"/>
    <col min="4" max="16384" width="7" style="2"/>
  </cols>
  <sheetData>
    <row r="1" spans="1:3" ht="15" customHeight="1" x14ac:dyDescent="0.25"/>
    <row r="2" spans="1:3" ht="15" customHeight="1" x14ac:dyDescent="0.25">
      <c r="A2" s="3" t="s">
        <v>0</v>
      </c>
      <c r="B2" s="3" t="s">
        <v>1</v>
      </c>
      <c r="C2" s="3" t="s">
        <v>2</v>
      </c>
    </row>
    <row r="3" spans="1:3" ht="15" customHeight="1" x14ac:dyDescent="0.25">
      <c r="A3" s="4" t="s">
        <v>3</v>
      </c>
      <c r="B3" s="5">
        <v>15341</v>
      </c>
      <c r="C3" s="5">
        <v>28843</v>
      </c>
    </row>
    <row r="4" spans="1:3" ht="15" customHeight="1" x14ac:dyDescent="0.25">
      <c r="A4" s="4" t="s">
        <v>4</v>
      </c>
      <c r="B4" s="5">
        <v>16634</v>
      </c>
      <c r="C4" s="5">
        <v>27767</v>
      </c>
    </row>
    <row r="5" spans="1:3" ht="15" customHeight="1" x14ac:dyDescent="0.25">
      <c r="A5" s="4" t="s">
        <v>5</v>
      </c>
      <c r="B5" s="5">
        <v>18545</v>
      </c>
      <c r="C5" s="5">
        <v>26535</v>
      </c>
    </row>
    <row r="6" spans="1:3" ht="15" customHeight="1" x14ac:dyDescent="0.25">
      <c r="A6" s="4" t="s">
        <v>6</v>
      </c>
      <c r="B6" s="5">
        <v>19987</v>
      </c>
      <c r="C6" s="5">
        <v>24732</v>
      </c>
    </row>
    <row r="7" spans="1:3" ht="15" customHeight="1" x14ac:dyDescent="0.25">
      <c r="A7" s="4" t="s">
        <v>7</v>
      </c>
      <c r="B7" s="5">
        <v>21867</v>
      </c>
      <c r="C7" s="5">
        <v>23586</v>
      </c>
    </row>
    <row r="8" spans="1:3" ht="15" customHeight="1" x14ac:dyDescent="0.25">
      <c r="A8" s="4" t="s">
        <v>8</v>
      </c>
      <c r="B8" s="5">
        <v>22883</v>
      </c>
      <c r="C8" s="5">
        <v>22223</v>
      </c>
    </row>
    <row r="24" ht="16.5" x14ac:dyDescent="0.25"/>
    <row r="25" ht="16.5" x14ac:dyDescent="0.25"/>
    <row r="26" ht="16.5" x14ac:dyDescent="0.25"/>
    <row r="27" ht="16.5" x14ac:dyDescent="0.25"/>
    <row r="28" ht="16.5" x14ac:dyDescent="0.25"/>
    <row r="29" ht="16.5" x14ac:dyDescent="0.25"/>
    <row r="30" ht="16.5" x14ac:dyDescent="0.25"/>
    <row r="31" ht="16.5" x14ac:dyDescent="0.25"/>
    <row r="32" ht="16.5" x14ac:dyDescent="0.25"/>
    <row r="33" ht="16.5" x14ac:dyDescent="0.25"/>
    <row r="34" ht="16.5" x14ac:dyDescent="0.25"/>
    <row r="35" ht="16.5" x14ac:dyDescent="0.25"/>
    <row r="36" ht="16.5" x14ac:dyDescent="0.25"/>
    <row r="37" ht="16.5" x14ac:dyDescent="0.25"/>
    <row r="38" ht="16.5" x14ac:dyDescent="0.25"/>
    <row r="39" ht="16.5" x14ac:dyDescent="0.25"/>
    <row r="40" ht="16.5" x14ac:dyDescent="0.25"/>
    <row r="41" ht="16.5" x14ac:dyDescent="0.25"/>
    <row r="42" ht="16.5" x14ac:dyDescent="0.25"/>
    <row r="43" ht="16.5" x14ac:dyDescent="0.25"/>
    <row r="44" ht="16.5" x14ac:dyDescent="0.25"/>
    <row r="45" ht="16.5" x14ac:dyDescent="0.25"/>
    <row r="46" ht="16.5" x14ac:dyDescent="0.25"/>
    <row r="47" ht="16.5" x14ac:dyDescent="0.25"/>
    <row r="48" ht="16.5" x14ac:dyDescent="0.25"/>
    <row r="49" ht="16.5" x14ac:dyDescent="0.25"/>
    <row r="50" ht="16.5" x14ac:dyDescent="0.25"/>
    <row r="51" ht="16.5" x14ac:dyDescent="0.25"/>
    <row r="52" ht="16.5" x14ac:dyDescent="0.25"/>
    <row r="53" ht="16.5" x14ac:dyDescent="0.25"/>
    <row r="59" ht="16.5" x14ac:dyDescent="0.25"/>
    <row r="60" ht="16.5" x14ac:dyDescent="0.25"/>
    <row r="61" ht="16.5" x14ac:dyDescent="0.25"/>
    <row r="62" ht="16.5" x14ac:dyDescent="0.25"/>
    <row r="63" ht="16.5" x14ac:dyDescent="0.25"/>
    <row r="64" ht="16.5" x14ac:dyDescent="0.25"/>
    <row r="65" ht="16.5" x14ac:dyDescent="0.25"/>
    <row r="66" ht="16.5" x14ac:dyDescent="0.25"/>
    <row r="67" ht="16.5" x14ac:dyDescent="0.25"/>
    <row r="68" ht="16.5" x14ac:dyDescent="0.25"/>
    <row r="69" ht="16.5" x14ac:dyDescent="0.25"/>
    <row r="70" ht="16.5" x14ac:dyDescent="0.25"/>
    <row r="71" ht="16.5" x14ac:dyDescent="0.25"/>
    <row r="72" ht="16.5" x14ac:dyDescent="0.25"/>
    <row r="73" ht="16.5" x14ac:dyDescent="0.25"/>
    <row r="74" ht="16.5" x14ac:dyDescent="0.25"/>
    <row r="75" ht="16.5" x14ac:dyDescent="0.25"/>
    <row r="76" ht="16.5" x14ac:dyDescent="0.25"/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M14"/>
  <sheetViews>
    <sheetView showGridLines="0" workbookViewId="0">
      <selection activeCell="A9" sqref="A9"/>
    </sheetView>
  </sheetViews>
  <sheetFormatPr defaultRowHeight="20.100000000000001" customHeight="1" x14ac:dyDescent="0.2"/>
  <cols>
    <col min="1" max="4" width="7.625" style="7" customWidth="1"/>
    <col min="5" max="5" width="11.875" style="7" customWidth="1"/>
    <col min="6" max="16384" width="9" style="7"/>
  </cols>
  <sheetData>
    <row r="2" spans="1:13" ht="15" customHeight="1" x14ac:dyDescent="0.2">
      <c r="A2" s="3" t="s">
        <v>0</v>
      </c>
      <c r="B2" s="3" t="s">
        <v>9</v>
      </c>
      <c r="C2" s="3" t="s">
        <v>10</v>
      </c>
      <c r="D2" s="6" t="s">
        <v>11</v>
      </c>
      <c r="E2" s="6" t="s">
        <v>12</v>
      </c>
    </row>
    <row r="3" spans="1:13" ht="15" customHeight="1" x14ac:dyDescent="0.25">
      <c r="A3" s="4" t="s">
        <v>3</v>
      </c>
      <c r="B3" s="8">
        <v>150</v>
      </c>
      <c r="C3" s="8">
        <v>245</v>
      </c>
      <c r="D3" s="8">
        <v>220</v>
      </c>
      <c r="E3" s="8">
        <f>AVERAGE($D$3:$D$14)</f>
        <v>231.58333333333334</v>
      </c>
      <c r="M3" s="2"/>
    </row>
    <row r="4" spans="1:13" ht="15" customHeight="1" x14ac:dyDescent="0.25">
      <c r="A4" s="9" t="s">
        <v>4</v>
      </c>
      <c r="B4" s="8">
        <v>156</v>
      </c>
      <c r="C4" s="8">
        <v>240</v>
      </c>
      <c r="D4" s="8">
        <v>216</v>
      </c>
      <c r="E4" s="8">
        <f t="shared" ref="E4:E14" si="0">AVERAGE($D$3:$D$14)</f>
        <v>231.58333333333334</v>
      </c>
      <c r="M4" s="2"/>
    </row>
    <row r="5" spans="1:13" ht="15" customHeight="1" x14ac:dyDescent="0.2">
      <c r="A5" s="9" t="s">
        <v>5</v>
      </c>
      <c r="B5" s="8">
        <v>168</v>
      </c>
      <c r="C5" s="8">
        <v>235</v>
      </c>
      <c r="D5" s="8">
        <v>211</v>
      </c>
      <c r="E5" s="8">
        <f t="shared" si="0"/>
        <v>231.58333333333334</v>
      </c>
    </row>
    <row r="6" spans="1:13" ht="15" customHeight="1" x14ac:dyDescent="0.2">
      <c r="A6" s="9" t="s">
        <v>6</v>
      </c>
      <c r="B6" s="8">
        <v>175</v>
      </c>
      <c r="C6" s="8">
        <v>230</v>
      </c>
      <c r="D6" s="8">
        <v>207</v>
      </c>
      <c r="E6" s="8">
        <f t="shared" si="0"/>
        <v>231.58333333333334</v>
      </c>
    </row>
    <row r="7" spans="1:13" ht="15" customHeight="1" x14ac:dyDescent="0.2">
      <c r="A7" s="9" t="s">
        <v>7</v>
      </c>
      <c r="B7" s="8">
        <v>188</v>
      </c>
      <c r="C7" s="8">
        <v>225</v>
      </c>
      <c r="D7" s="8">
        <v>204</v>
      </c>
      <c r="E7" s="8">
        <f t="shared" si="0"/>
        <v>231.58333333333334</v>
      </c>
    </row>
    <row r="8" spans="1:13" ht="15" customHeight="1" x14ac:dyDescent="0.2">
      <c r="A8" s="9" t="s">
        <v>8</v>
      </c>
      <c r="B8" s="8">
        <v>191</v>
      </c>
      <c r="C8" s="8">
        <v>222</v>
      </c>
      <c r="D8" s="8">
        <v>196</v>
      </c>
      <c r="E8" s="8">
        <f t="shared" si="0"/>
        <v>231.58333333333334</v>
      </c>
    </row>
    <row r="9" spans="1:13" ht="15" customHeight="1" x14ac:dyDescent="0.2">
      <c r="A9" s="9" t="s">
        <v>13</v>
      </c>
      <c r="B9" s="8">
        <v>200</v>
      </c>
      <c r="C9" s="8">
        <v>219</v>
      </c>
      <c r="D9" s="8">
        <v>214</v>
      </c>
      <c r="E9" s="8">
        <f t="shared" si="0"/>
        <v>231.58333333333334</v>
      </c>
    </row>
    <row r="10" spans="1:13" ht="15" customHeight="1" x14ac:dyDescent="0.2">
      <c r="A10" s="9" t="s">
        <v>14</v>
      </c>
      <c r="B10" s="8">
        <v>206</v>
      </c>
      <c r="C10" s="8">
        <v>214</v>
      </c>
      <c r="D10" s="8">
        <v>231</v>
      </c>
      <c r="E10" s="8">
        <f t="shared" si="0"/>
        <v>231.58333333333334</v>
      </c>
    </row>
    <row r="11" spans="1:13" ht="15" customHeight="1" x14ac:dyDescent="0.2">
      <c r="A11" s="9" t="s">
        <v>15</v>
      </c>
      <c r="B11" s="8">
        <v>213</v>
      </c>
      <c r="C11" s="8">
        <v>211</v>
      </c>
      <c r="D11" s="8">
        <v>246</v>
      </c>
      <c r="E11" s="8">
        <f t="shared" si="0"/>
        <v>231.58333333333334</v>
      </c>
    </row>
    <row r="12" spans="1:13" ht="15" customHeight="1" x14ac:dyDescent="0.2">
      <c r="A12" s="9" t="s">
        <v>16</v>
      </c>
      <c r="B12" s="8">
        <v>224</v>
      </c>
      <c r="C12" s="8">
        <v>206</v>
      </c>
      <c r="D12" s="8">
        <v>262</v>
      </c>
      <c r="E12" s="8">
        <f t="shared" si="0"/>
        <v>231.58333333333334</v>
      </c>
    </row>
    <row r="13" spans="1:13" ht="15" customHeight="1" x14ac:dyDescent="0.2">
      <c r="A13" s="9" t="s">
        <v>17</v>
      </c>
      <c r="B13" s="8">
        <v>235</v>
      </c>
      <c r="C13" s="8">
        <v>201</v>
      </c>
      <c r="D13" s="8">
        <v>277</v>
      </c>
      <c r="E13" s="8">
        <f t="shared" si="0"/>
        <v>231.58333333333334</v>
      </c>
    </row>
    <row r="14" spans="1:13" ht="15" customHeight="1" x14ac:dyDescent="0.2">
      <c r="A14" s="9" t="s">
        <v>18</v>
      </c>
      <c r="B14" s="8">
        <v>238</v>
      </c>
      <c r="C14" s="8">
        <v>198</v>
      </c>
      <c r="D14" s="8">
        <v>295</v>
      </c>
      <c r="E14" s="8">
        <f t="shared" si="0"/>
        <v>231.58333333333334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7"/>
  <sheetViews>
    <sheetView showGridLines="0" workbookViewId="0">
      <selection activeCell="D18" sqref="D18"/>
    </sheetView>
  </sheetViews>
  <sheetFormatPr defaultRowHeight="15" customHeight="1" x14ac:dyDescent="0.15"/>
  <cols>
    <col min="1" max="1" width="9" style="10"/>
    <col min="2" max="2" width="11.375" style="10" bestFit="1" customWidth="1"/>
    <col min="3" max="10" width="9" style="10"/>
    <col min="11" max="11" width="11.875" style="10" customWidth="1"/>
    <col min="12" max="16384" width="9" style="10"/>
  </cols>
  <sheetData>
    <row r="2" spans="1:12" ht="15" customHeight="1" x14ac:dyDescent="0.15">
      <c r="A2" s="6" t="s">
        <v>19</v>
      </c>
      <c r="B2" s="6" t="s">
        <v>20</v>
      </c>
    </row>
    <row r="3" spans="1:12" ht="15" customHeight="1" x14ac:dyDescent="0.15">
      <c r="A3" s="9" t="s">
        <v>21</v>
      </c>
      <c r="B3" s="8">
        <v>81683</v>
      </c>
    </row>
    <row r="4" spans="1:12" ht="15" customHeight="1" x14ac:dyDescent="0.15">
      <c r="A4" s="9" t="s">
        <v>22</v>
      </c>
      <c r="B4" s="8">
        <v>121171</v>
      </c>
      <c r="L4" s="10">
        <v>7</v>
      </c>
    </row>
    <row r="5" spans="1:12" ht="15" customHeight="1" x14ac:dyDescent="0.15">
      <c r="A5" s="9" t="s">
        <v>23</v>
      </c>
      <c r="B5" s="8">
        <v>62879</v>
      </c>
      <c r="L5" s="10">
        <v>12</v>
      </c>
    </row>
    <row r="6" spans="1:12" ht="15" customHeight="1" x14ac:dyDescent="0.15">
      <c r="A6" s="9" t="s">
        <v>24</v>
      </c>
      <c r="B6" s="8">
        <v>259311</v>
      </c>
    </row>
    <row r="7" spans="1:12" ht="15" customHeight="1" x14ac:dyDescent="0.15">
      <c r="A7" s="11"/>
      <c r="B7" s="11"/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"/>
  <sheetViews>
    <sheetView showGridLines="0" topLeftCell="A2" workbookViewId="0">
      <selection activeCell="D24" sqref="D23:D24"/>
    </sheetView>
  </sheetViews>
  <sheetFormatPr defaultRowHeight="14.25" x14ac:dyDescent="0.2"/>
  <sheetData>
    <row r="1" spans="1:14" ht="15" customHeight="1" x14ac:dyDescent="0.2"/>
    <row r="2" spans="1:14" ht="15" customHeight="1" x14ac:dyDescent="0.2">
      <c r="A2" s="6" t="s">
        <v>19</v>
      </c>
      <c r="B2" s="6" t="s">
        <v>25</v>
      </c>
      <c r="C2" s="6" t="s">
        <v>20</v>
      </c>
    </row>
    <row r="3" spans="1:14" ht="15" customHeight="1" x14ac:dyDescent="0.2">
      <c r="A3" s="9" t="s">
        <v>21</v>
      </c>
      <c r="B3" s="9"/>
      <c r="C3" s="8">
        <v>81683</v>
      </c>
      <c r="N3">
        <v>7</v>
      </c>
    </row>
    <row r="4" spans="1:14" ht="15" customHeight="1" x14ac:dyDescent="0.2">
      <c r="A4" s="9" t="s">
        <v>22</v>
      </c>
      <c r="B4" s="9"/>
      <c r="C4" s="8">
        <v>121171</v>
      </c>
      <c r="N4">
        <v>12</v>
      </c>
    </row>
    <row r="5" spans="1:14" ht="15" customHeight="1" x14ac:dyDescent="0.2">
      <c r="A5" s="9" t="s">
        <v>23</v>
      </c>
      <c r="B5" s="9"/>
      <c r="C5" s="8">
        <v>62879</v>
      </c>
    </row>
    <row r="6" spans="1:14" ht="15" customHeight="1" x14ac:dyDescent="0.2">
      <c r="A6" s="44" t="s">
        <v>26</v>
      </c>
      <c r="B6" s="9" t="s">
        <v>27</v>
      </c>
      <c r="C6" s="8">
        <v>69307</v>
      </c>
    </row>
    <row r="7" spans="1:14" ht="15" customHeight="1" x14ac:dyDescent="0.2">
      <c r="A7" s="44"/>
      <c r="B7" s="9" t="s">
        <v>28</v>
      </c>
      <c r="C7" s="8">
        <v>36963</v>
      </c>
    </row>
    <row r="8" spans="1:14" ht="15" customHeight="1" x14ac:dyDescent="0.2">
      <c r="A8" s="44"/>
      <c r="B8" s="9" t="s">
        <v>29</v>
      </c>
      <c r="C8" s="8">
        <v>59289</v>
      </c>
    </row>
    <row r="9" spans="1:14" ht="15" customHeight="1" x14ac:dyDescent="0.2">
      <c r="A9" s="44"/>
      <c r="B9" s="4" t="s">
        <v>30</v>
      </c>
      <c r="C9" s="8">
        <v>93752</v>
      </c>
    </row>
    <row r="10" spans="1:14" ht="15" customHeight="1" x14ac:dyDescent="0.2"/>
    <row r="11" spans="1:14" ht="15" customHeight="1" x14ac:dyDescent="0.2"/>
    <row r="12" spans="1:14" ht="15" customHeight="1" x14ac:dyDescent="0.2"/>
    <row r="13" spans="1:14" ht="15" customHeight="1" x14ac:dyDescent="0.2"/>
  </sheetData>
  <mergeCells count="1">
    <mergeCell ref="A6:A9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L15"/>
  <sheetViews>
    <sheetView showGridLines="0" workbookViewId="0">
      <selection activeCell="O10" sqref="O10"/>
    </sheetView>
  </sheetViews>
  <sheetFormatPr defaultRowHeight="20.100000000000001" customHeight="1" x14ac:dyDescent="0.2"/>
  <cols>
    <col min="1" max="1" width="10.875" style="12" bestFit="1" customWidth="1"/>
    <col min="2" max="2" width="7.75" style="12" bestFit="1" customWidth="1"/>
    <col min="3" max="3" width="15" style="12" bestFit="1" customWidth="1"/>
  </cols>
  <sheetData>
    <row r="1" spans="1:12" ht="15" customHeight="1" x14ac:dyDescent="0.2"/>
    <row r="2" spans="1:12" ht="15" customHeight="1" x14ac:dyDescent="0.2">
      <c r="A2" s="13" t="s">
        <v>31</v>
      </c>
      <c r="B2" s="13" t="s">
        <v>32</v>
      </c>
      <c r="C2" s="13" t="s">
        <v>33</v>
      </c>
    </row>
    <row r="3" spans="1:12" ht="15" customHeight="1" x14ac:dyDescent="0.25">
      <c r="A3" s="14" t="s">
        <v>34</v>
      </c>
      <c r="B3" s="14" t="s">
        <v>35</v>
      </c>
      <c r="C3" s="14">
        <v>19.39</v>
      </c>
      <c r="L3" s="2"/>
    </row>
    <row r="4" spans="1:12" ht="15" customHeight="1" x14ac:dyDescent="0.25">
      <c r="A4" s="14" t="s">
        <v>36</v>
      </c>
      <c r="B4" s="14"/>
      <c r="C4" s="14">
        <v>17.28</v>
      </c>
      <c r="L4" s="2"/>
    </row>
    <row r="5" spans="1:12" ht="15" customHeight="1" x14ac:dyDescent="0.2">
      <c r="A5" s="14" t="s">
        <v>37</v>
      </c>
      <c r="B5" s="14" t="s">
        <v>38</v>
      </c>
      <c r="C5" s="14">
        <v>12.24</v>
      </c>
    </row>
    <row r="6" spans="1:12" ht="15" customHeight="1" x14ac:dyDescent="0.2">
      <c r="A6" s="14" t="s">
        <v>39</v>
      </c>
      <c r="B6" s="14" t="s">
        <v>38</v>
      </c>
      <c r="C6" s="14">
        <v>4.87</v>
      </c>
    </row>
    <row r="7" spans="1:12" ht="15" customHeight="1" x14ac:dyDescent="0.2">
      <c r="A7" s="14" t="s">
        <v>40</v>
      </c>
      <c r="B7" s="14" t="s">
        <v>41</v>
      </c>
      <c r="C7" s="14">
        <v>3.68</v>
      </c>
    </row>
    <row r="8" spans="1:12" ht="15" customHeight="1" x14ac:dyDescent="0.2">
      <c r="A8" s="14" t="s">
        <v>42</v>
      </c>
      <c r="B8" s="14" t="s">
        <v>41</v>
      </c>
      <c r="C8" s="14">
        <v>2.62</v>
      </c>
    </row>
    <row r="9" spans="1:12" ht="15" customHeight="1" x14ac:dyDescent="0.2">
      <c r="A9" s="14" t="s">
        <v>43</v>
      </c>
      <c r="B9" s="14" t="s">
        <v>38</v>
      </c>
      <c r="C9" s="14">
        <v>2.6</v>
      </c>
    </row>
    <row r="10" spans="1:12" ht="15" customHeight="1" x14ac:dyDescent="0.2">
      <c r="A10" s="14" t="s">
        <v>44</v>
      </c>
      <c r="B10" s="14" t="s">
        <v>41</v>
      </c>
      <c r="C10" s="14">
        <v>2.58</v>
      </c>
    </row>
    <row r="11" spans="1:12" ht="15" customHeight="1" x14ac:dyDescent="0.2">
      <c r="A11" s="14" t="s">
        <v>45</v>
      </c>
      <c r="B11" s="14" t="s">
        <v>35</v>
      </c>
      <c r="C11" s="14">
        <v>2.06</v>
      </c>
    </row>
    <row r="12" spans="1:12" ht="15" customHeight="1" x14ac:dyDescent="0.2">
      <c r="A12" s="14" t="s">
        <v>46</v>
      </c>
      <c r="B12" s="14" t="s">
        <v>41</v>
      </c>
      <c r="C12" s="14">
        <v>1.93</v>
      </c>
    </row>
    <row r="13" spans="1:12" ht="15" customHeight="1" x14ac:dyDescent="0.2"/>
    <row r="14" spans="1:12" ht="15" customHeight="1" x14ac:dyDescent="0.2"/>
    <row r="15" spans="1:12" ht="15" customHeight="1" x14ac:dyDescent="0.2"/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E18"/>
  <sheetViews>
    <sheetView showGridLines="0" workbookViewId="0">
      <selection activeCell="A12" sqref="A12:D18"/>
    </sheetView>
  </sheetViews>
  <sheetFormatPr defaultRowHeight="14.25" x14ac:dyDescent="0.2"/>
  <sheetData>
    <row r="2" spans="1:5" x14ac:dyDescent="0.2">
      <c r="A2" s="3" t="s">
        <v>0</v>
      </c>
      <c r="B2" s="3" t="s">
        <v>47</v>
      </c>
      <c r="C2" s="3" t="s">
        <v>48</v>
      </c>
      <c r="D2" s="3" t="s">
        <v>49</v>
      </c>
    </row>
    <row r="3" spans="1:5" x14ac:dyDescent="0.2">
      <c r="A3" s="4" t="s">
        <v>3</v>
      </c>
      <c r="B3" s="5">
        <v>17336</v>
      </c>
      <c r="C3" s="5">
        <v>24955</v>
      </c>
      <c r="D3" s="5">
        <v>23587</v>
      </c>
    </row>
    <row r="4" spans="1:5" x14ac:dyDescent="0.2">
      <c r="A4" s="4" t="s">
        <v>4</v>
      </c>
      <c r="B4" s="5">
        <v>44106</v>
      </c>
      <c r="C4" s="5">
        <v>93467</v>
      </c>
      <c r="D4" s="5">
        <v>70465</v>
      </c>
    </row>
    <row r="5" spans="1:5" x14ac:dyDescent="0.2">
      <c r="A5" s="4" t="s">
        <v>5</v>
      </c>
      <c r="B5" s="5">
        <v>99705</v>
      </c>
      <c r="C5" s="5">
        <v>83390</v>
      </c>
      <c r="D5" s="5">
        <v>81355</v>
      </c>
    </row>
    <row r="6" spans="1:5" x14ac:dyDescent="0.2">
      <c r="A6" s="4" t="s">
        <v>6</v>
      </c>
      <c r="B6" s="5">
        <v>72044</v>
      </c>
      <c r="C6" s="5">
        <v>65051</v>
      </c>
      <c r="D6" s="5">
        <v>38082</v>
      </c>
    </row>
    <row r="7" spans="1:5" x14ac:dyDescent="0.2">
      <c r="A7" s="4" t="s">
        <v>7</v>
      </c>
      <c r="B7" s="5">
        <v>32250</v>
      </c>
      <c r="C7" s="5">
        <v>92824</v>
      </c>
      <c r="D7" s="5">
        <v>38241</v>
      </c>
    </row>
    <row r="8" spans="1:5" x14ac:dyDescent="0.2">
      <c r="A8" s="4" t="s">
        <v>8</v>
      </c>
      <c r="B8" s="5">
        <v>67618</v>
      </c>
      <c r="C8" s="5">
        <v>40085</v>
      </c>
      <c r="D8" s="5">
        <v>79983</v>
      </c>
    </row>
    <row r="12" spans="1:5" x14ac:dyDescent="0.2">
      <c r="A12" s="3" t="s">
        <v>0</v>
      </c>
      <c r="B12" s="3" t="s">
        <v>47</v>
      </c>
      <c r="C12" s="3" t="s">
        <v>48</v>
      </c>
      <c r="D12" s="3" t="s">
        <v>49</v>
      </c>
    </row>
    <row r="13" spans="1:5" x14ac:dyDescent="0.2">
      <c r="A13" s="4" t="s">
        <v>3</v>
      </c>
      <c r="B13" s="15">
        <f>B3/SUM($B3:$D3)</f>
        <v>0.26315310118704272</v>
      </c>
      <c r="C13" s="15">
        <f t="shared" ref="C13:D13" si="0">C3/SUM($B3:$D3)</f>
        <v>0.37880627827195723</v>
      </c>
      <c r="D13" s="15">
        <f t="shared" si="0"/>
        <v>0.35804062054100005</v>
      </c>
      <c r="E13" s="16"/>
    </row>
    <row r="14" spans="1:5" x14ac:dyDescent="0.2">
      <c r="A14" s="4" t="s">
        <v>4</v>
      </c>
      <c r="B14" s="15">
        <f t="shared" ref="B14:D18" si="1">B4/SUM($B4:$D4)</f>
        <v>0.21200934444668762</v>
      </c>
      <c r="C14" s="15">
        <f t="shared" si="1"/>
        <v>0.44927849719762736</v>
      </c>
      <c r="D14" s="15">
        <f t="shared" si="1"/>
        <v>0.33871215835568502</v>
      </c>
      <c r="E14" s="16"/>
    </row>
    <row r="15" spans="1:5" x14ac:dyDescent="0.2">
      <c r="A15" s="4" t="s">
        <v>5</v>
      </c>
      <c r="B15" s="15">
        <f t="shared" si="1"/>
        <v>0.37702779353374927</v>
      </c>
      <c r="C15" s="15">
        <f t="shared" si="1"/>
        <v>0.31533371147664963</v>
      </c>
      <c r="D15" s="15">
        <f t="shared" si="1"/>
        <v>0.30763849498960105</v>
      </c>
      <c r="E15" s="16"/>
    </row>
    <row r="16" spans="1:5" x14ac:dyDescent="0.2">
      <c r="A16" s="4" t="s">
        <v>6</v>
      </c>
      <c r="B16" s="15">
        <f t="shared" si="1"/>
        <v>0.41126403580378701</v>
      </c>
      <c r="C16" s="15">
        <f t="shared" si="1"/>
        <v>0.3713444116522146</v>
      </c>
      <c r="D16" s="15">
        <f t="shared" si="1"/>
        <v>0.21739155254399836</v>
      </c>
      <c r="E16" s="16"/>
    </row>
    <row r="17" spans="1:5" x14ac:dyDescent="0.2">
      <c r="A17" s="4" t="s">
        <v>7</v>
      </c>
      <c r="B17" s="15">
        <f t="shared" si="1"/>
        <v>0.19747114472032576</v>
      </c>
      <c r="C17" s="15">
        <f t="shared" si="1"/>
        <v>0.56837400116339587</v>
      </c>
      <c r="D17" s="15">
        <f t="shared" si="1"/>
        <v>0.23415485411627837</v>
      </c>
      <c r="E17" s="16"/>
    </row>
    <row r="18" spans="1:5" x14ac:dyDescent="0.2">
      <c r="A18" s="4" t="s">
        <v>8</v>
      </c>
      <c r="B18" s="15">
        <f t="shared" si="1"/>
        <v>0.36027194356531655</v>
      </c>
      <c r="C18" s="15">
        <f t="shared" si="1"/>
        <v>0.21357480046460578</v>
      </c>
      <c r="D18" s="15">
        <f>D8/SUM($B8:$D8)</f>
        <v>0.42615325597007769</v>
      </c>
      <c r="E18" s="16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D26"/>
  <sheetViews>
    <sheetView showGridLines="0" workbookViewId="0">
      <selection activeCell="B5" sqref="B5"/>
    </sheetView>
  </sheetViews>
  <sheetFormatPr defaultRowHeight="14.25" x14ac:dyDescent="0.2"/>
  <sheetData>
    <row r="2" spans="1:4" x14ac:dyDescent="0.2">
      <c r="A2" s="3" t="s">
        <v>50</v>
      </c>
      <c r="B2" s="3" t="s">
        <v>51</v>
      </c>
      <c r="C2" s="3" t="s">
        <v>52</v>
      </c>
    </row>
    <row r="3" spans="1:4" x14ac:dyDescent="0.2">
      <c r="A3" s="4" t="s">
        <v>53</v>
      </c>
      <c r="B3" s="4">
        <v>563</v>
      </c>
      <c r="C3" s="4">
        <v>352</v>
      </c>
    </row>
    <row r="4" spans="1:4" x14ac:dyDescent="0.2">
      <c r="A4" s="4" t="s">
        <v>54</v>
      </c>
      <c r="B4" s="4">
        <v>782</v>
      </c>
      <c r="C4" s="4">
        <v>602</v>
      </c>
      <c r="D4" s="17"/>
    </row>
    <row r="5" spans="1:4" x14ac:dyDescent="0.2">
      <c r="A5" s="4" t="s">
        <v>55</v>
      </c>
      <c r="B5" s="4">
        <v>921</v>
      </c>
      <c r="C5" s="4">
        <v>658</v>
      </c>
    </row>
    <row r="6" spans="1:4" x14ac:dyDescent="0.2">
      <c r="A6" s="4" t="s">
        <v>56</v>
      </c>
      <c r="B6" s="4">
        <v>692</v>
      </c>
      <c r="C6" s="4">
        <v>532</v>
      </c>
    </row>
    <row r="7" spans="1:4" x14ac:dyDescent="0.2">
      <c r="A7" s="4" t="s">
        <v>57</v>
      </c>
      <c r="B7" s="4">
        <v>521</v>
      </c>
      <c r="C7" s="4">
        <v>326</v>
      </c>
    </row>
    <row r="8" spans="1:4" x14ac:dyDescent="0.2">
      <c r="A8" s="4" t="s">
        <v>58</v>
      </c>
      <c r="B8" s="4">
        <v>253</v>
      </c>
      <c r="C8" s="4">
        <v>181</v>
      </c>
    </row>
    <row r="11" spans="1:4" x14ac:dyDescent="0.2">
      <c r="A11" s="3" t="s">
        <v>50</v>
      </c>
      <c r="B11" s="3" t="s">
        <v>51</v>
      </c>
      <c r="C11" s="3" t="s">
        <v>52</v>
      </c>
    </row>
    <row r="12" spans="1:4" x14ac:dyDescent="0.2">
      <c r="A12" s="4" t="s">
        <v>53</v>
      </c>
      <c r="B12" s="4">
        <v>-563</v>
      </c>
      <c r="C12" s="4">
        <v>352</v>
      </c>
    </row>
    <row r="13" spans="1:4" x14ac:dyDescent="0.2">
      <c r="A13" s="4" t="s">
        <v>54</v>
      </c>
      <c r="B13" s="4">
        <v>-782</v>
      </c>
      <c r="C13" s="4">
        <v>602</v>
      </c>
    </row>
    <row r="14" spans="1:4" x14ac:dyDescent="0.2">
      <c r="A14" s="4" t="s">
        <v>55</v>
      </c>
      <c r="B14" s="4">
        <v>-921</v>
      </c>
      <c r="C14" s="4">
        <v>658</v>
      </c>
    </row>
    <row r="15" spans="1:4" x14ac:dyDescent="0.2">
      <c r="A15" s="4" t="s">
        <v>56</v>
      </c>
      <c r="B15" s="4">
        <v>-692</v>
      </c>
      <c r="C15" s="4">
        <v>532</v>
      </c>
    </row>
    <row r="16" spans="1:4" x14ac:dyDescent="0.2">
      <c r="A16" s="4" t="s">
        <v>57</v>
      </c>
      <c r="B16" s="4">
        <v>-521</v>
      </c>
      <c r="C16" s="4">
        <v>326</v>
      </c>
    </row>
    <row r="17" spans="1:4" x14ac:dyDescent="0.2">
      <c r="A17" s="4" t="s">
        <v>58</v>
      </c>
      <c r="B17" s="4">
        <v>-253</v>
      </c>
      <c r="C17" s="4">
        <v>181</v>
      </c>
    </row>
    <row r="20" spans="1:4" x14ac:dyDescent="0.2">
      <c r="A20" s="3" t="s">
        <v>59</v>
      </c>
      <c r="B20" s="3" t="s">
        <v>60</v>
      </c>
      <c r="C20" s="3" t="s">
        <v>61</v>
      </c>
      <c r="D20" s="3" t="s">
        <v>62</v>
      </c>
    </row>
    <row r="21" spans="1:4" x14ac:dyDescent="0.2">
      <c r="A21" s="4" t="s">
        <v>63</v>
      </c>
      <c r="B21" s="4">
        <v>-300</v>
      </c>
      <c r="C21" s="4">
        <v>-563</v>
      </c>
      <c r="D21" s="4">
        <v>352</v>
      </c>
    </row>
    <row r="22" spans="1:4" x14ac:dyDescent="0.2">
      <c r="A22" s="4" t="s">
        <v>64</v>
      </c>
      <c r="B22" s="4">
        <v>-300</v>
      </c>
      <c r="C22" s="4">
        <v>-782</v>
      </c>
      <c r="D22" s="4">
        <v>602</v>
      </c>
    </row>
    <row r="23" spans="1:4" x14ac:dyDescent="0.2">
      <c r="A23" s="4" t="s">
        <v>65</v>
      </c>
      <c r="B23" s="4">
        <v>-300</v>
      </c>
      <c r="C23" s="4">
        <v>-921</v>
      </c>
      <c r="D23" s="4">
        <v>658</v>
      </c>
    </row>
    <row r="24" spans="1:4" x14ac:dyDescent="0.2">
      <c r="A24" s="4" t="s">
        <v>66</v>
      </c>
      <c r="B24" s="4">
        <v>-300</v>
      </c>
      <c r="C24" s="4">
        <v>-692</v>
      </c>
      <c r="D24" s="4">
        <v>532</v>
      </c>
    </row>
    <row r="25" spans="1:4" x14ac:dyDescent="0.2">
      <c r="A25" s="4" t="s">
        <v>67</v>
      </c>
      <c r="B25" s="4">
        <v>-300</v>
      </c>
      <c r="C25" s="4">
        <v>-521</v>
      </c>
      <c r="D25" s="4">
        <v>326</v>
      </c>
    </row>
    <row r="26" spans="1:4" x14ac:dyDescent="0.2">
      <c r="A26" s="4" t="s">
        <v>68</v>
      </c>
      <c r="B26" s="4">
        <v>-300</v>
      </c>
      <c r="C26" s="4">
        <v>-253</v>
      </c>
      <c r="D26" s="4">
        <v>181</v>
      </c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8"/>
  <sheetViews>
    <sheetView showGridLines="0" workbookViewId="0">
      <selection activeCell="A3" sqref="A3"/>
    </sheetView>
  </sheetViews>
  <sheetFormatPr defaultRowHeight="15" customHeight="1" x14ac:dyDescent="0.2"/>
  <cols>
    <col min="1" max="4" width="8.125" customWidth="1"/>
  </cols>
  <sheetData>
    <row r="2" spans="1:11" ht="15" customHeight="1" x14ac:dyDescent="0.25">
      <c r="A2" s="3" t="s">
        <v>0</v>
      </c>
      <c r="B2" s="3" t="s">
        <v>47</v>
      </c>
      <c r="C2" s="3" t="s">
        <v>48</v>
      </c>
      <c r="D2" s="3" t="s">
        <v>49</v>
      </c>
      <c r="K2" s="2"/>
    </row>
    <row r="3" spans="1:11" ht="15" customHeight="1" x14ac:dyDescent="0.25">
      <c r="A3" s="4" t="s">
        <v>3</v>
      </c>
      <c r="B3" s="5">
        <v>19124</v>
      </c>
      <c r="C3" s="5">
        <v>15597</v>
      </c>
      <c r="D3" s="5">
        <v>13104</v>
      </c>
      <c r="K3" s="2"/>
    </row>
    <row r="4" spans="1:11" ht="15" customHeight="1" x14ac:dyDescent="0.2">
      <c r="A4" s="4" t="s">
        <v>4</v>
      </c>
      <c r="B4" s="5">
        <v>33928</v>
      </c>
      <c r="C4" s="5">
        <v>84970</v>
      </c>
      <c r="D4" s="5">
        <v>50332</v>
      </c>
    </row>
    <row r="5" spans="1:11" ht="15" customHeight="1" x14ac:dyDescent="0.2">
      <c r="A5" s="4" t="s">
        <v>5</v>
      </c>
      <c r="B5" s="5">
        <v>76696</v>
      </c>
      <c r="C5" s="5">
        <v>64146</v>
      </c>
      <c r="D5" s="5">
        <v>73959</v>
      </c>
    </row>
    <row r="6" spans="1:11" ht="15" customHeight="1" x14ac:dyDescent="0.2">
      <c r="A6" s="4" t="s">
        <v>6</v>
      </c>
      <c r="B6" s="5">
        <v>60037</v>
      </c>
      <c r="C6" s="5">
        <v>38265</v>
      </c>
      <c r="D6" s="5">
        <v>27201</v>
      </c>
    </row>
    <row r="7" spans="1:11" ht="15" customHeight="1" x14ac:dyDescent="0.2">
      <c r="A7" s="4" t="s">
        <v>7</v>
      </c>
      <c r="B7" s="5">
        <v>20156</v>
      </c>
      <c r="C7" s="5">
        <v>84385</v>
      </c>
      <c r="D7" s="5">
        <v>25494</v>
      </c>
    </row>
    <row r="8" spans="1:11" ht="15" customHeight="1" x14ac:dyDescent="0.2">
      <c r="A8" s="4" t="s">
        <v>8</v>
      </c>
      <c r="B8" s="5">
        <v>56348</v>
      </c>
      <c r="C8" s="5">
        <v>28632</v>
      </c>
      <c r="D8" s="5">
        <v>47049</v>
      </c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Y51"/>
  <sheetViews>
    <sheetView showGridLines="0" workbookViewId="0">
      <selection activeCell="B5" sqref="B5"/>
    </sheetView>
  </sheetViews>
  <sheetFormatPr defaultRowHeight="15" customHeight="1" x14ac:dyDescent="0.2"/>
  <cols>
    <col min="1" max="1" width="9" style="18"/>
    <col min="2" max="3" width="9" style="19"/>
    <col min="4" max="11" width="9" style="18"/>
    <col min="12" max="25" width="9" style="12"/>
    <col min="26" max="16384" width="9" style="18"/>
  </cols>
  <sheetData>
    <row r="1" spans="1:25" ht="15" customHeight="1" x14ac:dyDescent="0.2">
      <c r="L1" s="12" t="s">
        <v>69</v>
      </c>
      <c r="M1" s="12" t="s">
        <v>70</v>
      </c>
      <c r="N1" s="12" t="s">
        <v>71</v>
      </c>
      <c r="O1" s="12" t="s">
        <v>72</v>
      </c>
      <c r="Q1" s="12" t="s">
        <v>69</v>
      </c>
      <c r="R1" s="12" t="s">
        <v>70</v>
      </c>
      <c r="S1" s="12" t="s">
        <v>71</v>
      </c>
      <c r="T1" s="12" t="s">
        <v>72</v>
      </c>
      <c r="V1" s="12" t="s">
        <v>69</v>
      </c>
      <c r="W1" s="12" t="s">
        <v>70</v>
      </c>
      <c r="X1" s="12" t="s">
        <v>71</v>
      </c>
      <c r="Y1" s="12" t="s">
        <v>72</v>
      </c>
    </row>
    <row r="2" spans="1:25" ht="15" customHeight="1" x14ac:dyDescent="0.2">
      <c r="A2" s="6" t="s">
        <v>0</v>
      </c>
      <c r="B2" s="6" t="s">
        <v>73</v>
      </c>
      <c r="C2" s="6" t="s">
        <v>20</v>
      </c>
      <c r="L2" s="12">
        <v>1</v>
      </c>
      <c r="M2" s="12">
        <v>5.0999999999999996</v>
      </c>
      <c r="N2" s="12">
        <v>3.5</v>
      </c>
      <c r="O2" s="12" t="s">
        <v>74</v>
      </c>
      <c r="Q2" s="12">
        <v>51</v>
      </c>
      <c r="R2" s="12">
        <v>7</v>
      </c>
      <c r="S2" s="12">
        <v>3.2</v>
      </c>
      <c r="T2" s="12" t="s">
        <v>75</v>
      </c>
      <c r="V2" s="12">
        <v>101</v>
      </c>
      <c r="W2" s="12">
        <v>6.3</v>
      </c>
      <c r="X2" s="12">
        <v>3.3</v>
      </c>
      <c r="Y2" s="12" t="s">
        <v>76</v>
      </c>
    </row>
    <row r="3" spans="1:25" ht="15" customHeight="1" x14ac:dyDescent="0.2">
      <c r="A3" s="20">
        <v>1</v>
      </c>
      <c r="B3" s="9">
        <v>100</v>
      </c>
      <c r="C3" s="9">
        <v>110</v>
      </c>
      <c r="L3" s="12">
        <v>2</v>
      </c>
      <c r="M3" s="12">
        <v>4.9000000000000004</v>
      </c>
      <c r="N3" s="12">
        <v>3</v>
      </c>
      <c r="O3" s="12" t="s">
        <v>74</v>
      </c>
      <c r="Q3" s="12">
        <v>52</v>
      </c>
      <c r="R3" s="12">
        <v>6.4</v>
      </c>
      <c r="S3" s="12">
        <v>3.2</v>
      </c>
      <c r="T3" s="12" t="s">
        <v>75</v>
      </c>
      <c r="V3" s="12">
        <v>102</v>
      </c>
      <c r="W3" s="12">
        <v>5.8</v>
      </c>
      <c r="X3" s="12">
        <v>2.7</v>
      </c>
      <c r="Y3" s="12" t="s">
        <v>76</v>
      </c>
    </row>
    <row r="4" spans="1:25" ht="15" customHeight="1" x14ac:dyDescent="0.2">
      <c r="A4" s="20">
        <v>2</v>
      </c>
      <c r="B4" s="9">
        <v>200</v>
      </c>
      <c r="C4" s="9">
        <v>300</v>
      </c>
      <c r="L4" s="12">
        <v>3</v>
      </c>
      <c r="M4" s="12">
        <v>4.7</v>
      </c>
      <c r="N4" s="12">
        <v>3.2</v>
      </c>
      <c r="O4" s="12" t="s">
        <v>74</v>
      </c>
      <c r="Q4" s="12">
        <v>53</v>
      </c>
      <c r="R4" s="12">
        <v>6.9</v>
      </c>
      <c r="S4" s="12">
        <v>3.1</v>
      </c>
      <c r="T4" s="12" t="s">
        <v>75</v>
      </c>
      <c r="V4" s="12">
        <v>103</v>
      </c>
      <c r="W4" s="12">
        <v>7.1</v>
      </c>
      <c r="X4" s="12">
        <v>3</v>
      </c>
      <c r="Y4" s="12" t="s">
        <v>76</v>
      </c>
    </row>
    <row r="5" spans="1:25" ht="15" customHeight="1" x14ac:dyDescent="0.2">
      <c r="A5" s="20">
        <v>3</v>
      </c>
      <c r="B5" s="9">
        <v>300</v>
      </c>
      <c r="C5" s="9">
        <v>588</v>
      </c>
      <c r="L5" s="12">
        <v>4</v>
      </c>
      <c r="M5" s="12">
        <v>4.5999999999999996</v>
      </c>
      <c r="N5" s="12">
        <v>3.1</v>
      </c>
      <c r="O5" s="12" t="s">
        <v>74</v>
      </c>
      <c r="Q5" s="12">
        <v>54</v>
      </c>
      <c r="R5" s="12">
        <v>5.5</v>
      </c>
      <c r="S5" s="12">
        <v>2.2999999999999998</v>
      </c>
      <c r="T5" s="12" t="s">
        <v>75</v>
      </c>
      <c r="V5" s="12">
        <v>104</v>
      </c>
      <c r="W5" s="12">
        <v>6.3</v>
      </c>
      <c r="X5" s="12">
        <v>2.9</v>
      </c>
      <c r="Y5" s="12" t="s">
        <v>76</v>
      </c>
    </row>
    <row r="6" spans="1:25" ht="15" customHeight="1" x14ac:dyDescent="0.2">
      <c r="A6" s="20">
        <v>4</v>
      </c>
      <c r="B6" s="9">
        <v>400</v>
      </c>
      <c r="C6" s="9">
        <v>776</v>
      </c>
      <c r="L6" s="12">
        <v>5</v>
      </c>
      <c r="M6" s="12">
        <v>5</v>
      </c>
      <c r="N6" s="12">
        <v>3.6</v>
      </c>
      <c r="O6" s="12" t="s">
        <v>74</v>
      </c>
      <c r="Q6" s="12">
        <v>55</v>
      </c>
      <c r="R6" s="12">
        <v>6.5</v>
      </c>
      <c r="S6" s="12">
        <v>2.8</v>
      </c>
      <c r="T6" s="12" t="s">
        <v>75</v>
      </c>
      <c r="V6" s="12">
        <v>105</v>
      </c>
      <c r="W6" s="12">
        <v>6.5</v>
      </c>
      <c r="X6" s="12">
        <v>3</v>
      </c>
      <c r="Y6" s="12" t="s">
        <v>76</v>
      </c>
    </row>
    <row r="7" spans="1:25" ht="15" customHeight="1" x14ac:dyDescent="0.2">
      <c r="A7" s="20">
        <v>5</v>
      </c>
      <c r="B7" s="9">
        <v>500</v>
      </c>
      <c r="C7" s="9">
        <v>890</v>
      </c>
      <c r="L7" s="12">
        <v>6</v>
      </c>
      <c r="M7" s="12">
        <v>5.4</v>
      </c>
      <c r="N7" s="12">
        <v>3.9</v>
      </c>
      <c r="O7" s="12" t="s">
        <v>74</v>
      </c>
      <c r="Q7" s="12">
        <v>56</v>
      </c>
      <c r="R7" s="12">
        <v>5.7</v>
      </c>
      <c r="S7" s="12">
        <v>2.8</v>
      </c>
      <c r="T7" s="12" t="s">
        <v>75</v>
      </c>
      <c r="V7" s="12">
        <v>106</v>
      </c>
      <c r="W7" s="12">
        <v>7.6</v>
      </c>
      <c r="X7" s="12">
        <v>3</v>
      </c>
      <c r="Y7" s="12" t="s">
        <v>76</v>
      </c>
    </row>
    <row r="8" spans="1:25" ht="15" customHeight="1" x14ac:dyDescent="0.2">
      <c r="A8" s="20">
        <v>6</v>
      </c>
      <c r="B8" s="9">
        <v>600</v>
      </c>
      <c r="C8" s="9">
        <v>924</v>
      </c>
      <c r="L8" s="12">
        <v>7</v>
      </c>
      <c r="M8" s="12">
        <v>4.5999999999999996</v>
      </c>
      <c r="N8" s="12">
        <v>3.4</v>
      </c>
      <c r="O8" s="12" t="s">
        <v>74</v>
      </c>
      <c r="Q8" s="12">
        <v>57</v>
      </c>
      <c r="R8" s="12">
        <v>6.3</v>
      </c>
      <c r="S8" s="12">
        <v>3.3</v>
      </c>
      <c r="T8" s="12" t="s">
        <v>75</v>
      </c>
      <c r="V8" s="12">
        <v>107</v>
      </c>
      <c r="W8" s="12">
        <v>4.9000000000000004</v>
      </c>
      <c r="X8" s="12">
        <v>2.5</v>
      </c>
      <c r="Y8" s="12" t="s">
        <v>76</v>
      </c>
    </row>
    <row r="9" spans="1:25" ht="15" customHeight="1" x14ac:dyDescent="0.2">
      <c r="A9" s="20">
        <v>7</v>
      </c>
      <c r="B9" s="9">
        <v>700</v>
      </c>
      <c r="C9" s="9">
        <v>784</v>
      </c>
      <c r="L9" s="12">
        <v>8</v>
      </c>
      <c r="M9" s="12">
        <v>5</v>
      </c>
      <c r="N9" s="12">
        <v>3.4</v>
      </c>
      <c r="O9" s="12" t="s">
        <v>74</v>
      </c>
      <c r="Q9" s="12">
        <v>58</v>
      </c>
      <c r="R9" s="12">
        <v>4.9000000000000004</v>
      </c>
      <c r="S9" s="12">
        <v>2.4</v>
      </c>
      <c r="T9" s="12" t="s">
        <v>75</v>
      </c>
      <c r="V9" s="12">
        <v>108</v>
      </c>
      <c r="W9" s="12">
        <v>7.3</v>
      </c>
      <c r="X9" s="12">
        <v>2.9</v>
      </c>
      <c r="Y9" s="12" t="s">
        <v>76</v>
      </c>
    </row>
    <row r="10" spans="1:25" ht="15" customHeight="1" x14ac:dyDescent="0.2">
      <c r="A10" s="20">
        <v>8</v>
      </c>
      <c r="B10" s="9">
        <v>800</v>
      </c>
      <c r="C10" s="9">
        <v>1432</v>
      </c>
      <c r="L10" s="12">
        <v>9</v>
      </c>
      <c r="M10" s="12">
        <v>4.4000000000000004</v>
      </c>
      <c r="N10" s="12">
        <v>2.9</v>
      </c>
      <c r="O10" s="12" t="s">
        <v>74</v>
      </c>
      <c r="Q10" s="12">
        <v>59</v>
      </c>
      <c r="R10" s="12">
        <v>6.6</v>
      </c>
      <c r="S10" s="12">
        <v>2.9</v>
      </c>
      <c r="T10" s="12" t="s">
        <v>75</v>
      </c>
      <c r="V10" s="12">
        <v>109</v>
      </c>
      <c r="W10" s="12">
        <v>6.7</v>
      </c>
      <c r="X10" s="12">
        <v>2.5</v>
      </c>
      <c r="Y10" s="12" t="s">
        <v>76</v>
      </c>
    </row>
    <row r="11" spans="1:25" ht="15" customHeight="1" x14ac:dyDescent="0.2">
      <c r="A11" s="20">
        <v>9</v>
      </c>
      <c r="B11" s="9">
        <v>900</v>
      </c>
      <c r="C11" s="9">
        <v>1305</v>
      </c>
      <c r="L11" s="12">
        <v>10</v>
      </c>
      <c r="M11" s="12">
        <v>4.9000000000000004</v>
      </c>
      <c r="N11" s="12">
        <v>3.1</v>
      </c>
      <c r="O11" s="12" t="s">
        <v>74</v>
      </c>
      <c r="Q11" s="12">
        <v>60</v>
      </c>
      <c r="R11" s="12">
        <v>5.2</v>
      </c>
      <c r="S11" s="12">
        <v>2.7</v>
      </c>
      <c r="T11" s="12" t="s">
        <v>75</v>
      </c>
      <c r="V11" s="12">
        <v>110</v>
      </c>
      <c r="W11" s="12">
        <v>7.2</v>
      </c>
      <c r="X11" s="12">
        <v>3.6</v>
      </c>
      <c r="Y11" s="12" t="s">
        <v>76</v>
      </c>
    </row>
    <row r="12" spans="1:25" ht="15" customHeight="1" x14ac:dyDescent="0.2">
      <c r="A12" s="20">
        <v>10</v>
      </c>
      <c r="B12" s="9">
        <v>1000</v>
      </c>
      <c r="C12" s="9">
        <v>1610</v>
      </c>
      <c r="L12" s="12">
        <v>11</v>
      </c>
      <c r="M12" s="12">
        <v>5.4</v>
      </c>
      <c r="N12" s="12">
        <v>3.7</v>
      </c>
      <c r="O12" s="12" t="s">
        <v>74</v>
      </c>
      <c r="Q12" s="12">
        <v>61</v>
      </c>
      <c r="R12" s="12">
        <v>5</v>
      </c>
      <c r="S12" s="12">
        <v>2</v>
      </c>
      <c r="T12" s="12" t="s">
        <v>75</v>
      </c>
      <c r="V12" s="12">
        <v>111</v>
      </c>
      <c r="W12" s="12">
        <v>6.5</v>
      </c>
      <c r="X12" s="12">
        <v>3.2</v>
      </c>
      <c r="Y12" s="12" t="s">
        <v>76</v>
      </c>
    </row>
    <row r="13" spans="1:25" ht="15" customHeight="1" x14ac:dyDescent="0.2">
      <c r="A13" s="20">
        <v>11</v>
      </c>
      <c r="B13" s="9">
        <v>1100</v>
      </c>
      <c r="C13" s="9">
        <v>1936</v>
      </c>
      <c r="L13" s="12">
        <v>12</v>
      </c>
      <c r="M13" s="12">
        <v>4.8</v>
      </c>
      <c r="N13" s="12">
        <v>3.4</v>
      </c>
      <c r="O13" s="12" t="s">
        <v>74</v>
      </c>
      <c r="Q13" s="12">
        <v>62</v>
      </c>
      <c r="R13" s="12">
        <v>5.9</v>
      </c>
      <c r="S13" s="12">
        <v>3</v>
      </c>
      <c r="T13" s="12" t="s">
        <v>75</v>
      </c>
      <c r="V13" s="12">
        <v>112</v>
      </c>
      <c r="W13" s="12">
        <v>6.4</v>
      </c>
      <c r="X13" s="12">
        <v>2.7</v>
      </c>
      <c r="Y13" s="12" t="s">
        <v>76</v>
      </c>
    </row>
    <row r="14" spans="1:25" ht="15" customHeight="1" x14ac:dyDescent="0.2">
      <c r="L14" s="12">
        <v>13</v>
      </c>
      <c r="M14" s="12">
        <v>4.8</v>
      </c>
      <c r="N14" s="12">
        <v>3</v>
      </c>
      <c r="O14" s="12" t="s">
        <v>74</v>
      </c>
      <c r="Q14" s="12">
        <v>63</v>
      </c>
      <c r="R14" s="12">
        <v>6</v>
      </c>
      <c r="S14" s="12">
        <v>2.2000000000000002</v>
      </c>
      <c r="T14" s="12" t="s">
        <v>75</v>
      </c>
      <c r="V14" s="12">
        <v>113</v>
      </c>
      <c r="W14" s="12">
        <v>6.8</v>
      </c>
      <c r="X14" s="12">
        <v>3</v>
      </c>
      <c r="Y14" s="12" t="s">
        <v>76</v>
      </c>
    </row>
    <row r="15" spans="1:25" ht="15" customHeight="1" x14ac:dyDescent="0.2">
      <c r="L15" s="12">
        <v>14</v>
      </c>
      <c r="M15" s="12">
        <v>4.3</v>
      </c>
      <c r="N15" s="12">
        <v>3</v>
      </c>
      <c r="O15" s="12" t="s">
        <v>74</v>
      </c>
      <c r="Q15" s="12">
        <v>64</v>
      </c>
      <c r="R15" s="12">
        <v>6.1</v>
      </c>
      <c r="S15" s="12">
        <v>2.9</v>
      </c>
      <c r="T15" s="12" t="s">
        <v>75</v>
      </c>
      <c r="V15" s="12">
        <v>114</v>
      </c>
      <c r="W15" s="12">
        <v>5.7</v>
      </c>
      <c r="X15" s="12">
        <v>2.5</v>
      </c>
      <c r="Y15" s="12" t="s">
        <v>76</v>
      </c>
    </row>
    <row r="16" spans="1:25" ht="15" customHeight="1" x14ac:dyDescent="0.2">
      <c r="L16" s="12">
        <v>15</v>
      </c>
      <c r="M16" s="12">
        <v>5.8</v>
      </c>
      <c r="N16" s="12">
        <v>4</v>
      </c>
      <c r="O16" s="12" t="s">
        <v>74</v>
      </c>
      <c r="Q16" s="12">
        <v>65</v>
      </c>
      <c r="R16" s="12">
        <v>5.6</v>
      </c>
      <c r="S16" s="12">
        <v>2.9</v>
      </c>
      <c r="T16" s="12" t="s">
        <v>75</v>
      </c>
      <c r="V16" s="12">
        <v>115</v>
      </c>
      <c r="W16" s="12">
        <v>5.8</v>
      </c>
      <c r="X16" s="12">
        <v>2.8</v>
      </c>
      <c r="Y16" s="12" t="s">
        <v>76</v>
      </c>
    </row>
    <row r="17" spans="12:25" ht="15" customHeight="1" x14ac:dyDescent="0.2">
      <c r="L17" s="12">
        <v>16</v>
      </c>
      <c r="M17" s="12">
        <v>5.7</v>
      </c>
      <c r="N17" s="12">
        <v>4.4000000000000004</v>
      </c>
      <c r="O17" s="12" t="s">
        <v>74</v>
      </c>
      <c r="Q17" s="12">
        <v>66</v>
      </c>
      <c r="R17" s="12">
        <v>6.7</v>
      </c>
      <c r="S17" s="12">
        <v>3.1</v>
      </c>
      <c r="T17" s="12" t="s">
        <v>75</v>
      </c>
      <c r="V17" s="12">
        <v>116</v>
      </c>
      <c r="W17" s="12">
        <v>6.4</v>
      </c>
      <c r="X17" s="12">
        <v>3.2</v>
      </c>
      <c r="Y17" s="12" t="s">
        <v>76</v>
      </c>
    </row>
    <row r="18" spans="12:25" ht="15" customHeight="1" x14ac:dyDescent="0.2">
      <c r="L18" s="12">
        <v>17</v>
      </c>
      <c r="M18" s="12">
        <v>5.4</v>
      </c>
      <c r="N18" s="12">
        <v>3.9</v>
      </c>
      <c r="O18" s="12" t="s">
        <v>74</v>
      </c>
      <c r="Q18" s="12">
        <v>67</v>
      </c>
      <c r="R18" s="12">
        <v>5.6</v>
      </c>
      <c r="S18" s="12">
        <v>3</v>
      </c>
      <c r="T18" s="12" t="s">
        <v>75</v>
      </c>
      <c r="V18" s="12">
        <v>117</v>
      </c>
      <c r="W18" s="12">
        <v>6.5</v>
      </c>
      <c r="X18" s="12">
        <v>3</v>
      </c>
      <c r="Y18" s="12" t="s">
        <v>76</v>
      </c>
    </row>
    <row r="19" spans="12:25" ht="15" customHeight="1" x14ac:dyDescent="0.2">
      <c r="L19" s="12">
        <v>18</v>
      </c>
      <c r="M19" s="12">
        <v>5.0999999999999996</v>
      </c>
      <c r="N19" s="12">
        <v>3.5</v>
      </c>
      <c r="O19" s="12" t="s">
        <v>74</v>
      </c>
      <c r="Q19" s="12">
        <v>68</v>
      </c>
      <c r="R19" s="12">
        <v>5.8</v>
      </c>
      <c r="S19" s="12">
        <v>2.7</v>
      </c>
      <c r="T19" s="12" t="s">
        <v>75</v>
      </c>
      <c r="V19" s="12">
        <v>118</v>
      </c>
      <c r="W19" s="12">
        <v>7.7</v>
      </c>
      <c r="X19" s="12">
        <v>3.8</v>
      </c>
      <c r="Y19" s="12" t="s">
        <v>76</v>
      </c>
    </row>
    <row r="20" spans="12:25" ht="15" customHeight="1" x14ac:dyDescent="0.2">
      <c r="L20" s="12">
        <v>19</v>
      </c>
      <c r="M20" s="12">
        <v>5.7</v>
      </c>
      <c r="N20" s="12">
        <v>3.8</v>
      </c>
      <c r="O20" s="12" t="s">
        <v>74</v>
      </c>
      <c r="Q20" s="12">
        <v>69</v>
      </c>
      <c r="R20" s="12">
        <v>6.2</v>
      </c>
      <c r="S20" s="12">
        <v>2.2000000000000002</v>
      </c>
      <c r="T20" s="12" t="s">
        <v>75</v>
      </c>
      <c r="V20" s="12">
        <v>119</v>
      </c>
      <c r="W20" s="12">
        <v>7.7</v>
      </c>
      <c r="X20" s="12">
        <v>2.6</v>
      </c>
      <c r="Y20" s="12" t="s">
        <v>76</v>
      </c>
    </row>
    <row r="21" spans="12:25" ht="15" customHeight="1" x14ac:dyDescent="0.2">
      <c r="L21" s="12">
        <v>20</v>
      </c>
      <c r="M21" s="12">
        <v>5.0999999999999996</v>
      </c>
      <c r="N21" s="12">
        <v>3.8</v>
      </c>
      <c r="O21" s="12" t="s">
        <v>74</v>
      </c>
      <c r="Q21" s="12">
        <v>70</v>
      </c>
      <c r="R21" s="12">
        <v>5.6</v>
      </c>
      <c r="S21" s="12">
        <v>2.5</v>
      </c>
      <c r="T21" s="12" t="s">
        <v>75</v>
      </c>
      <c r="V21" s="12">
        <v>120</v>
      </c>
      <c r="W21" s="12">
        <v>6</v>
      </c>
      <c r="X21" s="12">
        <v>2.2000000000000002</v>
      </c>
      <c r="Y21" s="12" t="s">
        <v>76</v>
      </c>
    </row>
    <row r="22" spans="12:25" ht="15" customHeight="1" x14ac:dyDescent="0.2">
      <c r="L22" s="12">
        <v>21</v>
      </c>
      <c r="M22" s="12">
        <v>5.4</v>
      </c>
      <c r="N22" s="12">
        <v>3.4</v>
      </c>
      <c r="O22" s="12" t="s">
        <v>74</v>
      </c>
      <c r="Q22" s="12">
        <v>71</v>
      </c>
      <c r="R22" s="12">
        <v>5.9</v>
      </c>
      <c r="S22" s="12">
        <v>3.2</v>
      </c>
      <c r="T22" s="12" t="s">
        <v>75</v>
      </c>
      <c r="V22" s="12">
        <v>121</v>
      </c>
      <c r="W22" s="12">
        <v>6.9</v>
      </c>
      <c r="X22" s="12">
        <v>3.2</v>
      </c>
      <c r="Y22" s="12" t="s">
        <v>76</v>
      </c>
    </row>
    <row r="23" spans="12:25" ht="15" customHeight="1" x14ac:dyDescent="0.2">
      <c r="L23" s="12">
        <v>22</v>
      </c>
      <c r="M23" s="12">
        <v>5.0999999999999996</v>
      </c>
      <c r="N23" s="12">
        <v>3.7</v>
      </c>
      <c r="O23" s="12" t="s">
        <v>74</v>
      </c>
      <c r="Q23" s="12">
        <v>72</v>
      </c>
      <c r="R23" s="12">
        <v>6.1</v>
      </c>
      <c r="S23" s="12">
        <v>2.8</v>
      </c>
      <c r="T23" s="12" t="s">
        <v>75</v>
      </c>
      <c r="V23" s="12">
        <v>122</v>
      </c>
      <c r="W23" s="12">
        <v>5.6</v>
      </c>
      <c r="X23" s="12">
        <v>2.8</v>
      </c>
      <c r="Y23" s="12" t="s">
        <v>76</v>
      </c>
    </row>
    <row r="24" spans="12:25" ht="15" customHeight="1" x14ac:dyDescent="0.2">
      <c r="L24" s="12">
        <v>23</v>
      </c>
      <c r="M24" s="12">
        <v>4.5999999999999996</v>
      </c>
      <c r="N24" s="12">
        <v>3.6</v>
      </c>
      <c r="O24" s="12" t="s">
        <v>74</v>
      </c>
      <c r="Q24" s="12">
        <v>73</v>
      </c>
      <c r="R24" s="12">
        <v>6.3</v>
      </c>
      <c r="S24" s="12">
        <v>2.5</v>
      </c>
      <c r="T24" s="12" t="s">
        <v>75</v>
      </c>
      <c r="V24" s="12">
        <v>123</v>
      </c>
      <c r="W24" s="12">
        <v>7.7</v>
      </c>
      <c r="X24" s="12">
        <v>2.8</v>
      </c>
      <c r="Y24" s="12" t="s">
        <v>76</v>
      </c>
    </row>
    <row r="25" spans="12:25" ht="15" customHeight="1" x14ac:dyDescent="0.2">
      <c r="L25" s="12">
        <v>24</v>
      </c>
      <c r="M25" s="12">
        <v>5.0999999999999996</v>
      </c>
      <c r="N25" s="12">
        <v>3.3</v>
      </c>
      <c r="O25" s="12" t="s">
        <v>74</v>
      </c>
      <c r="Q25" s="12">
        <v>74</v>
      </c>
      <c r="R25" s="12">
        <v>6.1</v>
      </c>
      <c r="S25" s="12">
        <v>2.8</v>
      </c>
      <c r="T25" s="12" t="s">
        <v>75</v>
      </c>
      <c r="V25" s="12">
        <v>124</v>
      </c>
      <c r="W25" s="12">
        <v>6.3</v>
      </c>
      <c r="X25" s="12">
        <v>2.7</v>
      </c>
      <c r="Y25" s="12" t="s">
        <v>76</v>
      </c>
    </row>
    <row r="26" spans="12:25" ht="15" customHeight="1" x14ac:dyDescent="0.2">
      <c r="L26" s="12">
        <v>25</v>
      </c>
      <c r="M26" s="12">
        <v>4.8</v>
      </c>
      <c r="N26" s="12">
        <v>3.4</v>
      </c>
      <c r="O26" s="12" t="s">
        <v>74</v>
      </c>
      <c r="Q26" s="12">
        <v>75</v>
      </c>
      <c r="R26" s="12">
        <v>6.4</v>
      </c>
      <c r="S26" s="12">
        <v>2.9</v>
      </c>
      <c r="T26" s="12" t="s">
        <v>75</v>
      </c>
      <c r="V26" s="12">
        <v>125</v>
      </c>
      <c r="W26" s="12">
        <v>6.7</v>
      </c>
      <c r="X26" s="12">
        <v>3.3</v>
      </c>
      <c r="Y26" s="12" t="s">
        <v>76</v>
      </c>
    </row>
    <row r="27" spans="12:25" ht="15" customHeight="1" x14ac:dyDescent="0.2">
      <c r="L27" s="12">
        <v>26</v>
      </c>
      <c r="M27" s="12">
        <v>5</v>
      </c>
      <c r="N27" s="12">
        <v>3</v>
      </c>
      <c r="O27" s="12" t="s">
        <v>74</v>
      </c>
      <c r="Q27" s="12">
        <v>76</v>
      </c>
      <c r="R27" s="12">
        <v>6.6</v>
      </c>
      <c r="S27" s="12">
        <v>3</v>
      </c>
      <c r="T27" s="12" t="s">
        <v>75</v>
      </c>
      <c r="V27" s="12">
        <v>126</v>
      </c>
      <c r="W27" s="12">
        <v>7.2</v>
      </c>
      <c r="X27" s="12">
        <v>3.2</v>
      </c>
      <c r="Y27" s="12" t="s">
        <v>76</v>
      </c>
    </row>
    <row r="28" spans="12:25" ht="15" customHeight="1" x14ac:dyDescent="0.2">
      <c r="L28" s="12">
        <v>27</v>
      </c>
      <c r="M28" s="12">
        <v>5</v>
      </c>
      <c r="N28" s="12">
        <v>3.4</v>
      </c>
      <c r="O28" s="12" t="s">
        <v>74</v>
      </c>
      <c r="Q28" s="12">
        <v>77</v>
      </c>
      <c r="R28" s="12">
        <v>6.8</v>
      </c>
      <c r="S28" s="12">
        <v>2.8</v>
      </c>
      <c r="T28" s="12" t="s">
        <v>75</v>
      </c>
      <c r="V28" s="12">
        <v>127</v>
      </c>
      <c r="W28" s="12">
        <v>6.2</v>
      </c>
      <c r="X28" s="12">
        <v>2.8</v>
      </c>
      <c r="Y28" s="12" t="s">
        <v>76</v>
      </c>
    </row>
    <row r="29" spans="12:25" ht="15" customHeight="1" x14ac:dyDescent="0.2">
      <c r="L29" s="12">
        <v>28</v>
      </c>
      <c r="M29" s="12">
        <v>5.2</v>
      </c>
      <c r="N29" s="12">
        <v>3.5</v>
      </c>
      <c r="O29" s="12" t="s">
        <v>74</v>
      </c>
      <c r="Q29" s="12">
        <v>78</v>
      </c>
      <c r="R29" s="12">
        <v>6.7</v>
      </c>
      <c r="S29" s="12">
        <v>3</v>
      </c>
      <c r="T29" s="12" t="s">
        <v>75</v>
      </c>
      <c r="V29" s="12">
        <v>128</v>
      </c>
      <c r="W29" s="12">
        <v>6.1</v>
      </c>
      <c r="X29" s="12">
        <v>3</v>
      </c>
      <c r="Y29" s="12" t="s">
        <v>76</v>
      </c>
    </row>
    <row r="30" spans="12:25" ht="15" customHeight="1" x14ac:dyDescent="0.2">
      <c r="L30" s="12">
        <v>29</v>
      </c>
      <c r="M30" s="12">
        <v>5.2</v>
      </c>
      <c r="N30" s="12">
        <v>3.4</v>
      </c>
      <c r="O30" s="12" t="s">
        <v>74</v>
      </c>
      <c r="Q30" s="12">
        <v>79</v>
      </c>
      <c r="R30" s="12">
        <v>6</v>
      </c>
      <c r="S30" s="12">
        <v>2.9</v>
      </c>
      <c r="T30" s="12" t="s">
        <v>75</v>
      </c>
      <c r="V30" s="12">
        <v>129</v>
      </c>
      <c r="W30" s="12">
        <v>6.4</v>
      </c>
      <c r="X30" s="12">
        <v>2.8</v>
      </c>
      <c r="Y30" s="12" t="s">
        <v>76</v>
      </c>
    </row>
    <row r="31" spans="12:25" ht="15" customHeight="1" x14ac:dyDescent="0.2">
      <c r="L31" s="12">
        <v>30</v>
      </c>
      <c r="M31" s="12">
        <v>4.7</v>
      </c>
      <c r="N31" s="12">
        <v>3.2</v>
      </c>
      <c r="O31" s="12" t="s">
        <v>74</v>
      </c>
      <c r="Q31" s="12">
        <v>80</v>
      </c>
      <c r="R31" s="12">
        <v>5.7</v>
      </c>
      <c r="S31" s="12">
        <v>2.6</v>
      </c>
      <c r="T31" s="12" t="s">
        <v>75</v>
      </c>
      <c r="V31" s="12">
        <v>130</v>
      </c>
      <c r="W31" s="12">
        <v>7.2</v>
      </c>
      <c r="X31" s="12">
        <v>3</v>
      </c>
      <c r="Y31" s="12" t="s">
        <v>76</v>
      </c>
    </row>
    <row r="32" spans="12:25" ht="15" customHeight="1" x14ac:dyDescent="0.2">
      <c r="L32" s="12">
        <v>31</v>
      </c>
      <c r="M32" s="12">
        <v>4.8</v>
      </c>
      <c r="N32" s="12">
        <v>3.1</v>
      </c>
      <c r="O32" s="12" t="s">
        <v>74</v>
      </c>
      <c r="Q32" s="12">
        <v>81</v>
      </c>
      <c r="R32" s="12">
        <v>5.5</v>
      </c>
      <c r="S32" s="12">
        <v>2.4</v>
      </c>
      <c r="T32" s="12" t="s">
        <v>75</v>
      </c>
      <c r="V32" s="12">
        <v>131</v>
      </c>
      <c r="W32" s="12">
        <v>7.4</v>
      </c>
      <c r="X32" s="12">
        <v>2.8</v>
      </c>
      <c r="Y32" s="12" t="s">
        <v>76</v>
      </c>
    </row>
    <row r="33" spans="12:25" ht="15" customHeight="1" x14ac:dyDescent="0.2">
      <c r="L33" s="12">
        <v>32</v>
      </c>
      <c r="M33" s="12">
        <v>5.4</v>
      </c>
      <c r="N33" s="12">
        <v>3.4</v>
      </c>
      <c r="O33" s="12" t="s">
        <v>74</v>
      </c>
      <c r="Q33" s="12">
        <v>82</v>
      </c>
      <c r="R33" s="12">
        <v>5.5</v>
      </c>
      <c r="S33" s="12">
        <v>2.4</v>
      </c>
      <c r="T33" s="12" t="s">
        <v>75</v>
      </c>
      <c r="V33" s="12">
        <v>132</v>
      </c>
      <c r="W33" s="12">
        <v>7.9</v>
      </c>
      <c r="X33" s="12">
        <v>3.8</v>
      </c>
      <c r="Y33" s="12" t="s">
        <v>76</v>
      </c>
    </row>
    <row r="34" spans="12:25" ht="15" customHeight="1" x14ac:dyDescent="0.2">
      <c r="L34" s="12">
        <v>33</v>
      </c>
      <c r="M34" s="12">
        <v>5.2</v>
      </c>
      <c r="N34" s="12">
        <v>4.0999999999999996</v>
      </c>
      <c r="O34" s="12" t="s">
        <v>74</v>
      </c>
      <c r="Q34" s="12">
        <v>83</v>
      </c>
      <c r="R34" s="12">
        <v>5.8</v>
      </c>
      <c r="S34" s="12">
        <v>2.7</v>
      </c>
      <c r="T34" s="12" t="s">
        <v>75</v>
      </c>
      <c r="V34" s="12">
        <v>133</v>
      </c>
      <c r="W34" s="12">
        <v>6.4</v>
      </c>
      <c r="X34" s="12">
        <v>2.8</v>
      </c>
      <c r="Y34" s="12" t="s">
        <v>76</v>
      </c>
    </row>
    <row r="35" spans="12:25" ht="15" customHeight="1" x14ac:dyDescent="0.2">
      <c r="L35" s="12">
        <v>34</v>
      </c>
      <c r="M35" s="12">
        <v>5.5</v>
      </c>
      <c r="N35" s="12">
        <v>4.2</v>
      </c>
      <c r="O35" s="12" t="s">
        <v>74</v>
      </c>
      <c r="Q35" s="12">
        <v>84</v>
      </c>
      <c r="R35" s="12">
        <v>6</v>
      </c>
      <c r="S35" s="12">
        <v>2.7</v>
      </c>
      <c r="T35" s="12" t="s">
        <v>75</v>
      </c>
      <c r="V35" s="12">
        <v>134</v>
      </c>
      <c r="W35" s="12">
        <v>6.3</v>
      </c>
      <c r="X35" s="12">
        <v>2.8</v>
      </c>
      <c r="Y35" s="12" t="s">
        <v>76</v>
      </c>
    </row>
    <row r="36" spans="12:25" ht="15" customHeight="1" x14ac:dyDescent="0.2">
      <c r="L36" s="12">
        <v>35</v>
      </c>
      <c r="M36" s="12">
        <v>4.9000000000000004</v>
      </c>
      <c r="N36" s="12">
        <v>3.1</v>
      </c>
      <c r="O36" s="12" t="s">
        <v>74</v>
      </c>
      <c r="Q36" s="12">
        <v>85</v>
      </c>
      <c r="R36" s="12">
        <v>5.4</v>
      </c>
      <c r="S36" s="12">
        <v>3</v>
      </c>
      <c r="T36" s="12" t="s">
        <v>75</v>
      </c>
      <c r="V36" s="12">
        <v>135</v>
      </c>
      <c r="W36" s="12">
        <v>6.1</v>
      </c>
      <c r="X36" s="12">
        <v>2.6</v>
      </c>
      <c r="Y36" s="12" t="s">
        <v>76</v>
      </c>
    </row>
    <row r="37" spans="12:25" ht="15" customHeight="1" x14ac:dyDescent="0.2">
      <c r="L37" s="12">
        <v>36</v>
      </c>
      <c r="M37" s="12">
        <v>5</v>
      </c>
      <c r="N37" s="12">
        <v>3.2</v>
      </c>
      <c r="O37" s="12" t="s">
        <v>74</v>
      </c>
      <c r="Q37" s="12">
        <v>86</v>
      </c>
      <c r="R37" s="12">
        <v>6</v>
      </c>
      <c r="S37" s="12">
        <v>3.4</v>
      </c>
      <c r="T37" s="12" t="s">
        <v>75</v>
      </c>
      <c r="V37" s="12">
        <v>136</v>
      </c>
      <c r="W37" s="12">
        <v>7.7</v>
      </c>
      <c r="X37" s="12">
        <v>3</v>
      </c>
      <c r="Y37" s="12" t="s">
        <v>76</v>
      </c>
    </row>
    <row r="38" spans="12:25" ht="15" customHeight="1" x14ac:dyDescent="0.2">
      <c r="L38" s="12">
        <v>37</v>
      </c>
      <c r="M38" s="12">
        <v>5.5</v>
      </c>
      <c r="N38" s="12">
        <v>3.5</v>
      </c>
      <c r="O38" s="12" t="s">
        <v>74</v>
      </c>
      <c r="Q38" s="12">
        <v>87</v>
      </c>
      <c r="R38" s="12">
        <v>6.7</v>
      </c>
      <c r="S38" s="12">
        <v>3.1</v>
      </c>
      <c r="T38" s="12" t="s">
        <v>75</v>
      </c>
      <c r="V38" s="12">
        <v>137</v>
      </c>
      <c r="W38" s="12">
        <v>6.3</v>
      </c>
      <c r="X38" s="12">
        <v>3.4</v>
      </c>
      <c r="Y38" s="12" t="s">
        <v>76</v>
      </c>
    </row>
    <row r="39" spans="12:25" ht="15" customHeight="1" x14ac:dyDescent="0.2">
      <c r="L39" s="12">
        <v>38</v>
      </c>
      <c r="M39" s="12">
        <v>4.9000000000000004</v>
      </c>
      <c r="N39" s="12">
        <v>3.6</v>
      </c>
      <c r="O39" s="12" t="s">
        <v>74</v>
      </c>
      <c r="Q39" s="12">
        <v>88</v>
      </c>
      <c r="R39" s="12">
        <v>6.3</v>
      </c>
      <c r="S39" s="12">
        <v>2.2999999999999998</v>
      </c>
      <c r="T39" s="12" t="s">
        <v>75</v>
      </c>
      <c r="V39" s="12">
        <v>138</v>
      </c>
      <c r="W39" s="12">
        <v>6.4</v>
      </c>
      <c r="X39" s="12">
        <v>3.1</v>
      </c>
      <c r="Y39" s="12" t="s">
        <v>76</v>
      </c>
    </row>
    <row r="40" spans="12:25" ht="15" customHeight="1" x14ac:dyDescent="0.2">
      <c r="L40" s="12">
        <v>39</v>
      </c>
      <c r="M40" s="12">
        <v>4.4000000000000004</v>
      </c>
      <c r="N40" s="12">
        <v>3</v>
      </c>
      <c r="O40" s="12" t="s">
        <v>74</v>
      </c>
      <c r="Q40" s="12">
        <v>89</v>
      </c>
      <c r="R40" s="12">
        <v>5.6</v>
      </c>
      <c r="S40" s="12">
        <v>3</v>
      </c>
      <c r="T40" s="12" t="s">
        <v>75</v>
      </c>
      <c r="V40" s="12">
        <v>139</v>
      </c>
      <c r="W40" s="12">
        <v>6</v>
      </c>
      <c r="X40" s="12">
        <v>3</v>
      </c>
      <c r="Y40" s="12" t="s">
        <v>76</v>
      </c>
    </row>
    <row r="41" spans="12:25" ht="15" customHeight="1" x14ac:dyDescent="0.2">
      <c r="L41" s="12">
        <v>40</v>
      </c>
      <c r="M41" s="12">
        <v>5.0999999999999996</v>
      </c>
      <c r="N41" s="12">
        <v>3.4</v>
      </c>
      <c r="O41" s="12" t="s">
        <v>74</v>
      </c>
      <c r="Q41" s="12">
        <v>90</v>
      </c>
      <c r="R41" s="12">
        <v>5.5</v>
      </c>
      <c r="S41" s="12">
        <v>2.5</v>
      </c>
      <c r="T41" s="12" t="s">
        <v>75</v>
      </c>
      <c r="V41" s="12">
        <v>140</v>
      </c>
      <c r="W41" s="12">
        <v>6.9</v>
      </c>
      <c r="X41" s="12">
        <v>3.1</v>
      </c>
      <c r="Y41" s="12" t="s">
        <v>76</v>
      </c>
    </row>
    <row r="42" spans="12:25" ht="15" customHeight="1" x14ac:dyDescent="0.2">
      <c r="L42" s="12">
        <v>41</v>
      </c>
      <c r="M42" s="12">
        <v>5</v>
      </c>
      <c r="N42" s="12">
        <v>3.5</v>
      </c>
      <c r="O42" s="12" t="s">
        <v>74</v>
      </c>
      <c r="Q42" s="12">
        <v>91</v>
      </c>
      <c r="R42" s="12">
        <v>5.5</v>
      </c>
      <c r="S42" s="12">
        <v>2.6</v>
      </c>
      <c r="T42" s="12" t="s">
        <v>75</v>
      </c>
      <c r="V42" s="12">
        <v>141</v>
      </c>
      <c r="W42" s="12">
        <v>6.7</v>
      </c>
      <c r="X42" s="12">
        <v>3.1</v>
      </c>
      <c r="Y42" s="12" t="s">
        <v>76</v>
      </c>
    </row>
    <row r="43" spans="12:25" ht="15" customHeight="1" x14ac:dyDescent="0.2">
      <c r="L43" s="12">
        <v>42</v>
      </c>
      <c r="M43" s="12">
        <v>4.5</v>
      </c>
      <c r="N43" s="12">
        <v>2.2999999999999998</v>
      </c>
      <c r="O43" s="12" t="s">
        <v>74</v>
      </c>
      <c r="Q43" s="12">
        <v>92</v>
      </c>
      <c r="R43" s="12">
        <v>6.1</v>
      </c>
      <c r="S43" s="12">
        <v>3</v>
      </c>
      <c r="T43" s="12" t="s">
        <v>75</v>
      </c>
      <c r="V43" s="12">
        <v>142</v>
      </c>
      <c r="W43" s="12">
        <v>6.9</v>
      </c>
      <c r="X43" s="12">
        <v>3.1</v>
      </c>
      <c r="Y43" s="12" t="s">
        <v>76</v>
      </c>
    </row>
    <row r="44" spans="12:25" ht="15" customHeight="1" x14ac:dyDescent="0.2">
      <c r="L44" s="12">
        <v>43</v>
      </c>
      <c r="M44" s="12">
        <v>4.4000000000000004</v>
      </c>
      <c r="N44" s="12">
        <v>3.2</v>
      </c>
      <c r="O44" s="12" t="s">
        <v>74</v>
      </c>
      <c r="Q44" s="12">
        <v>93</v>
      </c>
      <c r="R44" s="12">
        <v>5.8</v>
      </c>
      <c r="S44" s="12">
        <v>2.6</v>
      </c>
      <c r="T44" s="12" t="s">
        <v>75</v>
      </c>
      <c r="V44" s="12">
        <v>143</v>
      </c>
      <c r="W44" s="12">
        <v>5.8</v>
      </c>
      <c r="X44" s="12">
        <v>2.7</v>
      </c>
      <c r="Y44" s="12" t="s">
        <v>76</v>
      </c>
    </row>
    <row r="45" spans="12:25" ht="15" customHeight="1" x14ac:dyDescent="0.2">
      <c r="L45" s="12">
        <v>44</v>
      </c>
      <c r="M45" s="12">
        <v>5</v>
      </c>
      <c r="N45" s="12">
        <v>3.5</v>
      </c>
      <c r="O45" s="12" t="s">
        <v>74</v>
      </c>
      <c r="Q45" s="12">
        <v>94</v>
      </c>
      <c r="R45" s="12">
        <v>5</v>
      </c>
      <c r="S45" s="12">
        <v>2.2999999999999998</v>
      </c>
      <c r="T45" s="12" t="s">
        <v>75</v>
      </c>
      <c r="V45" s="12">
        <v>144</v>
      </c>
      <c r="W45" s="12">
        <v>6.8</v>
      </c>
      <c r="X45" s="12">
        <v>3.2</v>
      </c>
      <c r="Y45" s="12" t="s">
        <v>76</v>
      </c>
    </row>
    <row r="46" spans="12:25" ht="15" customHeight="1" x14ac:dyDescent="0.2">
      <c r="L46" s="12">
        <v>45</v>
      </c>
      <c r="M46" s="12">
        <v>5.0999999999999996</v>
      </c>
      <c r="N46" s="12">
        <v>3.8</v>
      </c>
      <c r="O46" s="12" t="s">
        <v>74</v>
      </c>
      <c r="Q46" s="12">
        <v>95</v>
      </c>
      <c r="R46" s="12">
        <v>5.6</v>
      </c>
      <c r="S46" s="12">
        <v>2.7</v>
      </c>
      <c r="T46" s="12" t="s">
        <v>75</v>
      </c>
      <c r="V46" s="12">
        <v>145</v>
      </c>
      <c r="W46" s="12">
        <v>6.7</v>
      </c>
      <c r="X46" s="12">
        <v>3.3</v>
      </c>
      <c r="Y46" s="12" t="s">
        <v>76</v>
      </c>
    </row>
    <row r="47" spans="12:25" ht="15" customHeight="1" x14ac:dyDescent="0.2">
      <c r="L47" s="12">
        <v>46</v>
      </c>
      <c r="M47" s="12">
        <v>4.8</v>
      </c>
      <c r="N47" s="12">
        <v>3</v>
      </c>
      <c r="O47" s="12" t="s">
        <v>74</v>
      </c>
      <c r="Q47" s="12">
        <v>96</v>
      </c>
      <c r="R47" s="12">
        <v>5.7</v>
      </c>
      <c r="S47" s="12">
        <v>3</v>
      </c>
      <c r="T47" s="12" t="s">
        <v>75</v>
      </c>
      <c r="V47" s="12">
        <v>146</v>
      </c>
      <c r="W47" s="12">
        <v>6.7</v>
      </c>
      <c r="X47" s="12">
        <v>3</v>
      </c>
      <c r="Y47" s="12" t="s">
        <v>76</v>
      </c>
    </row>
    <row r="48" spans="12:25" ht="15" customHeight="1" x14ac:dyDescent="0.2">
      <c r="L48" s="12">
        <v>47</v>
      </c>
      <c r="M48" s="12">
        <v>5.0999999999999996</v>
      </c>
      <c r="N48" s="12">
        <v>3.8</v>
      </c>
      <c r="O48" s="12" t="s">
        <v>74</v>
      </c>
      <c r="Q48" s="12">
        <v>97</v>
      </c>
      <c r="R48" s="12">
        <v>5.7</v>
      </c>
      <c r="S48" s="12">
        <v>2.9</v>
      </c>
      <c r="T48" s="12" t="s">
        <v>75</v>
      </c>
      <c r="V48" s="12">
        <v>147</v>
      </c>
      <c r="W48" s="12">
        <v>6.3</v>
      </c>
      <c r="X48" s="12">
        <v>2.5</v>
      </c>
      <c r="Y48" s="12" t="s">
        <v>76</v>
      </c>
    </row>
    <row r="49" spans="12:25" ht="15" customHeight="1" x14ac:dyDescent="0.2">
      <c r="L49" s="12">
        <v>48</v>
      </c>
      <c r="M49" s="12">
        <v>4.5999999999999996</v>
      </c>
      <c r="N49" s="12">
        <v>3.2</v>
      </c>
      <c r="O49" s="12" t="s">
        <v>74</v>
      </c>
      <c r="Q49" s="12">
        <v>98</v>
      </c>
      <c r="R49" s="12">
        <v>6.2</v>
      </c>
      <c r="S49" s="12">
        <v>2.9</v>
      </c>
      <c r="T49" s="12" t="s">
        <v>75</v>
      </c>
      <c r="V49" s="12">
        <v>148</v>
      </c>
      <c r="W49" s="12">
        <v>6.5</v>
      </c>
      <c r="X49" s="12">
        <v>3</v>
      </c>
      <c r="Y49" s="12" t="s">
        <v>76</v>
      </c>
    </row>
    <row r="50" spans="12:25" ht="15" customHeight="1" x14ac:dyDescent="0.2">
      <c r="L50" s="12">
        <v>49</v>
      </c>
      <c r="M50" s="12">
        <v>5.3</v>
      </c>
      <c r="N50" s="12">
        <v>3.7</v>
      </c>
      <c r="O50" s="12" t="s">
        <v>74</v>
      </c>
      <c r="Q50" s="12">
        <v>99</v>
      </c>
      <c r="R50" s="12">
        <v>5.0999999999999996</v>
      </c>
      <c r="S50" s="12">
        <v>2.5</v>
      </c>
      <c r="T50" s="12" t="s">
        <v>75</v>
      </c>
      <c r="V50" s="12">
        <v>149</v>
      </c>
      <c r="W50" s="12">
        <v>6.2</v>
      </c>
      <c r="X50" s="12">
        <v>3.4</v>
      </c>
      <c r="Y50" s="12" t="s">
        <v>76</v>
      </c>
    </row>
    <row r="51" spans="12:25" ht="15" customHeight="1" x14ac:dyDescent="0.2">
      <c r="L51" s="12">
        <v>50</v>
      </c>
      <c r="M51" s="12">
        <v>5</v>
      </c>
      <c r="N51" s="12">
        <v>3.3</v>
      </c>
      <c r="O51" s="12" t="s">
        <v>74</v>
      </c>
      <c r="Q51" s="12">
        <v>100</v>
      </c>
      <c r="R51" s="12">
        <v>5.7</v>
      </c>
      <c r="S51" s="12">
        <v>2.8</v>
      </c>
      <c r="T51" s="12" t="s">
        <v>75</v>
      </c>
      <c r="V51" s="12">
        <v>150</v>
      </c>
      <c r="W51" s="12">
        <v>5.9</v>
      </c>
      <c r="X51" s="12">
        <v>3</v>
      </c>
      <c r="Y51" s="12" t="s">
        <v>76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2:I11"/>
  <sheetViews>
    <sheetView showGridLines="0" workbookViewId="0">
      <selection activeCell="B5" sqref="B5"/>
    </sheetView>
  </sheetViews>
  <sheetFormatPr defaultRowHeight="15" customHeight="1" x14ac:dyDescent="0.2"/>
  <cols>
    <col min="1" max="4" width="9" style="21"/>
  </cols>
  <sheetData>
    <row r="2" spans="1:9" s="21" customFormat="1" ht="15" customHeight="1" x14ac:dyDescent="0.2">
      <c r="A2" s="6" t="s">
        <v>77</v>
      </c>
      <c r="B2" s="6" t="s">
        <v>78</v>
      </c>
      <c r="C2" s="6" t="s">
        <v>79</v>
      </c>
      <c r="D2" s="6" t="s">
        <v>20</v>
      </c>
    </row>
    <row r="3" spans="1:9" ht="15" customHeight="1" x14ac:dyDescent="0.2">
      <c r="A3" s="22" t="s">
        <v>80</v>
      </c>
      <c r="B3" s="23">
        <v>0.6</v>
      </c>
      <c r="C3" s="23">
        <v>0.77</v>
      </c>
      <c r="D3" s="9">
        <v>44</v>
      </c>
      <c r="F3" s="21"/>
      <c r="G3" s="21"/>
      <c r="H3" s="21"/>
      <c r="I3" s="21"/>
    </row>
    <row r="4" spans="1:9" ht="15" customHeight="1" x14ac:dyDescent="0.2">
      <c r="A4" s="22" t="s">
        <v>81</v>
      </c>
      <c r="B4" s="23">
        <v>0.23</v>
      </c>
      <c r="C4" s="23">
        <v>0.89</v>
      </c>
      <c r="D4" s="9">
        <v>63</v>
      </c>
      <c r="F4" s="21"/>
      <c r="G4" s="21"/>
      <c r="H4" s="21"/>
      <c r="I4" s="21"/>
    </row>
    <row r="5" spans="1:9" ht="15" customHeight="1" x14ac:dyDescent="0.2">
      <c r="A5" s="22" t="s">
        <v>82</v>
      </c>
      <c r="B5" s="23">
        <v>0.8</v>
      </c>
      <c r="C5" s="23">
        <v>0.31</v>
      </c>
      <c r="D5" s="9">
        <v>94</v>
      </c>
      <c r="F5" s="21"/>
      <c r="G5" s="21"/>
      <c r="H5" s="21"/>
      <c r="I5" s="21"/>
    </row>
    <row r="6" spans="1:9" ht="15" customHeight="1" x14ac:dyDescent="0.2">
      <c r="A6" s="9" t="s">
        <v>83</v>
      </c>
      <c r="B6" s="23">
        <v>0.34</v>
      </c>
      <c r="C6" s="23">
        <v>0.34</v>
      </c>
      <c r="D6" s="9">
        <v>51</v>
      </c>
      <c r="F6" s="21"/>
      <c r="G6" s="21"/>
      <c r="H6" s="21"/>
      <c r="I6" s="21"/>
    </row>
    <row r="7" spans="1:9" ht="15" customHeight="1" x14ac:dyDescent="0.2">
      <c r="A7" s="9" t="s">
        <v>84</v>
      </c>
      <c r="B7" s="23">
        <v>0.75</v>
      </c>
      <c r="C7" s="23">
        <v>0.99</v>
      </c>
      <c r="D7" s="9">
        <v>87</v>
      </c>
      <c r="F7" s="21"/>
      <c r="G7" s="21"/>
      <c r="H7" s="21"/>
      <c r="I7" s="21"/>
    </row>
    <row r="8" spans="1:9" ht="15" customHeight="1" x14ac:dyDescent="0.2">
      <c r="A8" s="9" t="s">
        <v>85</v>
      </c>
      <c r="B8" s="23">
        <v>0.77</v>
      </c>
      <c r="C8" s="23">
        <v>0.69</v>
      </c>
      <c r="D8" s="9">
        <v>67</v>
      </c>
      <c r="F8" s="21"/>
      <c r="G8" s="21"/>
      <c r="H8" s="21"/>
      <c r="I8" s="21"/>
    </row>
    <row r="9" spans="1:9" ht="15" customHeight="1" x14ac:dyDescent="0.2">
      <c r="A9" s="24"/>
      <c r="B9" s="24"/>
      <c r="C9" s="24"/>
      <c r="D9" s="24"/>
    </row>
    <row r="10" spans="1:9" ht="15" customHeight="1" x14ac:dyDescent="0.2">
      <c r="A10" s="24"/>
      <c r="B10" s="24"/>
      <c r="C10" s="24"/>
      <c r="D10" s="24"/>
    </row>
    <row r="11" spans="1:9" ht="15" customHeight="1" x14ac:dyDescent="0.2">
      <c r="A11" s="24"/>
      <c r="B11" s="24"/>
      <c r="C11" s="24"/>
      <c r="D11" s="24"/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S8"/>
  <sheetViews>
    <sheetView showGridLines="0" workbookViewId="0">
      <selection activeCell="O8" sqref="O8"/>
    </sheetView>
  </sheetViews>
  <sheetFormatPr defaultRowHeight="15" customHeight="1" x14ac:dyDescent="0.2"/>
  <cols>
    <col min="1" max="5" width="7.25" customWidth="1"/>
    <col min="6" max="6" width="6.875" customWidth="1"/>
  </cols>
  <sheetData>
    <row r="2" spans="1:19" ht="12.75" customHeight="1" x14ac:dyDescent="0.25">
      <c r="A2" s="25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S2" s="2"/>
    </row>
    <row r="3" spans="1:19" ht="12.75" customHeight="1" x14ac:dyDescent="0.25">
      <c r="A3" s="26">
        <v>43313</v>
      </c>
      <c r="B3" s="27">
        <v>30.28</v>
      </c>
      <c r="C3" s="27">
        <v>10.18</v>
      </c>
      <c r="D3" s="27">
        <v>9.9</v>
      </c>
      <c r="E3" s="27">
        <v>10.29</v>
      </c>
      <c r="F3" s="27">
        <v>9.8699999999999992</v>
      </c>
      <c r="S3" s="2"/>
    </row>
    <row r="4" spans="1:19" ht="12.75" customHeight="1" x14ac:dyDescent="0.2">
      <c r="A4" s="26">
        <v>43314</v>
      </c>
      <c r="B4" s="27">
        <v>33.39</v>
      </c>
      <c r="C4" s="27">
        <v>9.86</v>
      </c>
      <c r="D4" s="27">
        <v>9.6999999999999993</v>
      </c>
      <c r="E4" s="27">
        <v>9.93</v>
      </c>
      <c r="F4" s="27">
        <v>9.44</v>
      </c>
    </row>
    <row r="5" spans="1:19" ht="12.75" customHeight="1" x14ac:dyDescent="0.2">
      <c r="A5" s="26">
        <v>43315</v>
      </c>
      <c r="B5" s="27">
        <v>20.94</v>
      </c>
      <c r="C5" s="27">
        <v>9.6999999999999993</v>
      </c>
      <c r="D5" s="27">
        <v>9.5299999999999994</v>
      </c>
      <c r="E5" s="27">
        <v>9.77</v>
      </c>
      <c r="F5" s="27">
        <v>9.52</v>
      </c>
    </row>
    <row r="6" spans="1:19" ht="12.75" customHeight="1" x14ac:dyDescent="0.2">
      <c r="A6" s="26">
        <v>43316</v>
      </c>
      <c r="B6" s="27">
        <v>26.96</v>
      </c>
      <c r="C6" s="27">
        <v>9.5299999999999994</v>
      </c>
      <c r="D6" s="27">
        <v>9.5299999999999994</v>
      </c>
      <c r="E6" s="27">
        <v>9.68</v>
      </c>
      <c r="F6" s="27">
        <v>9.4499999999999993</v>
      </c>
    </row>
    <row r="7" spans="1:19" ht="12.75" customHeight="1" x14ac:dyDescent="0.2">
      <c r="A7" s="26">
        <v>43317</v>
      </c>
      <c r="B7" s="27">
        <v>30.54</v>
      </c>
      <c r="C7" s="27">
        <v>9.58</v>
      </c>
      <c r="D7" s="27">
        <v>9.84</v>
      </c>
      <c r="E7" s="27">
        <v>9.86</v>
      </c>
      <c r="F7" s="27">
        <v>9.5</v>
      </c>
    </row>
    <row r="8" spans="1:19" ht="12.75" customHeight="1" x14ac:dyDescent="0.2">
      <c r="A8" s="26">
        <v>43318</v>
      </c>
      <c r="B8" s="27">
        <v>39.69</v>
      </c>
      <c r="C8" s="27">
        <v>9.7200000000000006</v>
      </c>
      <c r="D8" s="27">
        <v>10.08</v>
      </c>
      <c r="E8" s="27">
        <v>10.23</v>
      </c>
      <c r="F8" s="27">
        <v>9.69</v>
      </c>
    </row>
  </sheetData>
  <phoneticPr fontId="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D32"/>
  <sheetViews>
    <sheetView showGridLines="0" workbookViewId="0">
      <selection activeCell="H20" sqref="H20"/>
    </sheetView>
  </sheetViews>
  <sheetFormatPr defaultRowHeight="15" customHeight="1" x14ac:dyDescent="0.2"/>
  <cols>
    <col min="1" max="1" width="5" style="30" bestFit="1" customWidth="1"/>
    <col min="2" max="3" width="8.5" bestFit="1" customWidth="1"/>
    <col min="4" max="4" width="8.5" style="31" bestFit="1" customWidth="1"/>
  </cols>
  <sheetData>
    <row r="2" spans="1:4" ht="15" customHeight="1" x14ac:dyDescent="0.2">
      <c r="A2" s="25" t="s">
        <v>92</v>
      </c>
      <c r="B2" s="3" t="s">
        <v>93</v>
      </c>
      <c r="C2" s="3" t="s">
        <v>94</v>
      </c>
      <c r="D2" s="28" t="s">
        <v>95</v>
      </c>
    </row>
    <row r="3" spans="1:4" ht="15" customHeight="1" x14ac:dyDescent="0.2">
      <c r="A3" s="26">
        <v>43344</v>
      </c>
      <c r="B3" s="4">
        <v>30</v>
      </c>
      <c r="C3" s="4">
        <v>25</v>
      </c>
      <c r="D3" s="29">
        <v>27.5</v>
      </c>
    </row>
    <row r="4" spans="1:4" ht="15" customHeight="1" x14ac:dyDescent="0.2">
      <c r="A4" s="26">
        <v>43345</v>
      </c>
      <c r="B4" s="4">
        <v>31</v>
      </c>
      <c r="C4" s="4">
        <v>23</v>
      </c>
      <c r="D4" s="29">
        <v>27</v>
      </c>
    </row>
    <row r="5" spans="1:4" ht="15" customHeight="1" x14ac:dyDescent="0.2">
      <c r="A5" s="26">
        <v>43346</v>
      </c>
      <c r="B5" s="4">
        <v>31</v>
      </c>
      <c r="C5" s="4">
        <v>24</v>
      </c>
      <c r="D5" s="29">
        <v>27.5</v>
      </c>
    </row>
    <row r="6" spans="1:4" ht="15" customHeight="1" x14ac:dyDescent="0.2">
      <c r="A6" s="26">
        <v>43347</v>
      </c>
      <c r="B6" s="4">
        <v>30</v>
      </c>
      <c r="C6" s="4">
        <v>24</v>
      </c>
      <c r="D6" s="29">
        <v>27</v>
      </c>
    </row>
    <row r="7" spans="1:4" ht="15" customHeight="1" x14ac:dyDescent="0.2">
      <c r="A7" s="26">
        <v>43348</v>
      </c>
      <c r="B7" s="4">
        <v>30</v>
      </c>
      <c r="C7" s="4">
        <v>23</v>
      </c>
      <c r="D7" s="29">
        <v>26.5</v>
      </c>
    </row>
    <row r="8" spans="1:4" ht="15" customHeight="1" x14ac:dyDescent="0.2">
      <c r="A8" s="26">
        <v>43349</v>
      </c>
      <c r="B8" s="4">
        <v>31</v>
      </c>
      <c r="C8" s="4">
        <v>24</v>
      </c>
      <c r="D8" s="29">
        <v>27.5</v>
      </c>
    </row>
    <row r="9" spans="1:4" ht="15" customHeight="1" x14ac:dyDescent="0.2">
      <c r="A9" s="26">
        <v>43350</v>
      </c>
      <c r="B9" s="4">
        <v>30</v>
      </c>
      <c r="C9" s="4">
        <v>25</v>
      </c>
      <c r="D9" s="29">
        <v>27.5</v>
      </c>
    </row>
    <row r="10" spans="1:4" ht="15" customHeight="1" x14ac:dyDescent="0.2">
      <c r="A10" s="26">
        <v>43351</v>
      </c>
      <c r="B10" s="4">
        <v>31</v>
      </c>
      <c r="C10" s="4">
        <v>23</v>
      </c>
      <c r="D10" s="29">
        <v>27</v>
      </c>
    </row>
    <row r="11" spans="1:4" ht="15" customHeight="1" x14ac:dyDescent="0.2">
      <c r="A11" s="26">
        <v>43352</v>
      </c>
      <c r="B11" s="4">
        <v>31</v>
      </c>
      <c r="C11" s="4">
        <v>23</v>
      </c>
      <c r="D11" s="29">
        <v>27</v>
      </c>
    </row>
    <row r="12" spans="1:4" ht="15" customHeight="1" x14ac:dyDescent="0.2">
      <c r="A12" s="26">
        <v>43353</v>
      </c>
      <c r="B12" s="4">
        <v>31</v>
      </c>
      <c r="C12" s="4">
        <v>24</v>
      </c>
      <c r="D12" s="29">
        <v>27.5</v>
      </c>
    </row>
    <row r="13" spans="1:4" ht="15" customHeight="1" x14ac:dyDescent="0.2">
      <c r="A13" s="26">
        <v>43354</v>
      </c>
      <c r="B13" s="4">
        <v>30</v>
      </c>
      <c r="C13" s="4">
        <v>23</v>
      </c>
      <c r="D13" s="29">
        <v>26.5</v>
      </c>
    </row>
    <row r="14" spans="1:4" ht="15" customHeight="1" x14ac:dyDescent="0.2">
      <c r="A14" s="26">
        <v>43355</v>
      </c>
      <c r="B14" s="4">
        <v>30</v>
      </c>
      <c r="C14" s="4">
        <v>23</v>
      </c>
      <c r="D14" s="29">
        <v>26.5</v>
      </c>
    </row>
    <row r="15" spans="1:4" ht="15" customHeight="1" x14ac:dyDescent="0.2">
      <c r="A15" s="26">
        <v>43356</v>
      </c>
      <c r="B15" s="4">
        <v>30</v>
      </c>
      <c r="C15" s="4">
        <v>24</v>
      </c>
      <c r="D15" s="29">
        <v>27</v>
      </c>
    </row>
    <row r="16" spans="1:4" ht="15" customHeight="1" x14ac:dyDescent="0.2">
      <c r="A16" s="26">
        <v>43357</v>
      </c>
      <c r="B16" s="4">
        <v>31</v>
      </c>
      <c r="C16" s="4">
        <v>25</v>
      </c>
      <c r="D16" s="29">
        <v>28</v>
      </c>
    </row>
    <row r="17" spans="1:4" ht="15" customHeight="1" x14ac:dyDescent="0.2">
      <c r="A17" s="26">
        <v>43358</v>
      </c>
      <c r="B17" s="4">
        <v>29</v>
      </c>
      <c r="C17" s="4">
        <v>21</v>
      </c>
      <c r="D17" s="29">
        <v>25</v>
      </c>
    </row>
    <row r="18" spans="1:4" ht="15" customHeight="1" x14ac:dyDescent="0.2">
      <c r="A18" s="26">
        <v>43359</v>
      </c>
      <c r="B18" s="4">
        <v>29</v>
      </c>
      <c r="C18" s="4">
        <v>21</v>
      </c>
      <c r="D18" s="29">
        <v>25</v>
      </c>
    </row>
    <row r="19" spans="1:4" ht="15" customHeight="1" x14ac:dyDescent="0.2">
      <c r="A19" s="26">
        <v>43360</v>
      </c>
      <c r="B19" s="4">
        <v>29</v>
      </c>
      <c r="C19" s="4">
        <v>21</v>
      </c>
      <c r="D19" s="29">
        <v>25</v>
      </c>
    </row>
    <row r="20" spans="1:4" ht="15" customHeight="1" x14ac:dyDescent="0.2">
      <c r="A20" s="26">
        <v>43361</v>
      </c>
      <c r="B20" s="4">
        <v>29</v>
      </c>
      <c r="C20" s="4">
        <v>21</v>
      </c>
      <c r="D20" s="29">
        <v>25</v>
      </c>
    </row>
    <row r="21" spans="1:4" ht="15" customHeight="1" x14ac:dyDescent="0.2">
      <c r="A21" s="26">
        <v>43362</v>
      </c>
      <c r="B21" s="4">
        <v>28</v>
      </c>
      <c r="C21" s="4">
        <v>21</v>
      </c>
      <c r="D21" s="29">
        <v>24.5</v>
      </c>
    </row>
    <row r="22" spans="1:4" ht="15" customHeight="1" x14ac:dyDescent="0.2">
      <c r="A22" s="26">
        <v>43363</v>
      </c>
      <c r="B22" s="4">
        <v>28</v>
      </c>
      <c r="C22" s="4">
        <v>22</v>
      </c>
      <c r="D22" s="29">
        <v>25</v>
      </c>
    </row>
    <row r="23" spans="1:4" ht="15" customHeight="1" x14ac:dyDescent="0.2">
      <c r="A23" s="26">
        <v>43364</v>
      </c>
      <c r="B23" s="4">
        <v>28</v>
      </c>
      <c r="C23" s="4">
        <v>21</v>
      </c>
      <c r="D23" s="29">
        <v>24.5</v>
      </c>
    </row>
    <row r="24" spans="1:4" ht="15" customHeight="1" x14ac:dyDescent="0.2">
      <c r="A24" s="26">
        <v>43365</v>
      </c>
      <c r="B24" s="4">
        <v>29</v>
      </c>
      <c r="C24" s="4">
        <v>21</v>
      </c>
      <c r="D24" s="29">
        <v>25</v>
      </c>
    </row>
    <row r="25" spans="1:4" ht="15" customHeight="1" x14ac:dyDescent="0.2">
      <c r="A25" s="26">
        <v>43366</v>
      </c>
      <c r="B25" s="4">
        <v>28</v>
      </c>
      <c r="C25" s="4">
        <v>21</v>
      </c>
      <c r="D25" s="29">
        <v>24.5</v>
      </c>
    </row>
    <row r="26" spans="1:4" ht="15" customHeight="1" x14ac:dyDescent="0.2">
      <c r="A26" s="26">
        <v>43367</v>
      </c>
      <c r="B26" s="4">
        <v>29</v>
      </c>
      <c r="C26" s="4">
        <v>20</v>
      </c>
      <c r="D26" s="29">
        <v>24.5</v>
      </c>
    </row>
    <row r="27" spans="1:4" ht="15" customHeight="1" x14ac:dyDescent="0.2">
      <c r="A27" s="26">
        <v>43368</v>
      </c>
      <c r="B27" s="4">
        <v>28</v>
      </c>
      <c r="C27" s="4">
        <v>20</v>
      </c>
      <c r="D27" s="29">
        <v>24</v>
      </c>
    </row>
    <row r="28" spans="1:4" ht="15" customHeight="1" x14ac:dyDescent="0.2">
      <c r="A28" s="26">
        <v>43369</v>
      </c>
      <c r="B28" s="4">
        <v>28</v>
      </c>
      <c r="C28" s="4">
        <v>20</v>
      </c>
      <c r="D28" s="29">
        <v>24</v>
      </c>
    </row>
    <row r="29" spans="1:4" ht="15" customHeight="1" x14ac:dyDescent="0.2">
      <c r="A29" s="26">
        <v>43370</v>
      </c>
      <c r="B29" s="4">
        <v>27</v>
      </c>
      <c r="C29" s="4">
        <v>19</v>
      </c>
      <c r="D29" s="29">
        <v>23</v>
      </c>
    </row>
    <row r="30" spans="1:4" ht="15" customHeight="1" x14ac:dyDescent="0.2">
      <c r="A30" s="26">
        <v>43371</v>
      </c>
      <c r="B30" s="4">
        <v>27</v>
      </c>
      <c r="C30" s="4">
        <v>19</v>
      </c>
      <c r="D30" s="29">
        <v>23</v>
      </c>
    </row>
    <row r="31" spans="1:4" ht="15" customHeight="1" x14ac:dyDescent="0.2">
      <c r="A31" s="26">
        <v>43372</v>
      </c>
      <c r="B31" s="4">
        <v>27</v>
      </c>
      <c r="C31" s="4">
        <v>18</v>
      </c>
      <c r="D31" s="29">
        <v>22.5</v>
      </c>
    </row>
    <row r="32" spans="1:4" ht="15" customHeight="1" x14ac:dyDescent="0.2">
      <c r="A32" s="26">
        <v>43373</v>
      </c>
      <c r="B32" s="4">
        <v>27</v>
      </c>
      <c r="C32" s="4">
        <v>18</v>
      </c>
      <c r="D32" s="29">
        <v>22.5</v>
      </c>
    </row>
  </sheetData>
  <phoneticPr fontId="3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2:P7"/>
  <sheetViews>
    <sheetView showGridLines="0" workbookViewId="0">
      <selection activeCell="B5" sqref="B5"/>
    </sheetView>
  </sheetViews>
  <sheetFormatPr defaultRowHeight="15" customHeight="1" x14ac:dyDescent="0.2"/>
  <cols>
    <col min="1" max="3" width="9" style="32"/>
  </cols>
  <sheetData>
    <row r="2" spans="1:16" ht="15" customHeight="1" x14ac:dyDescent="0.25">
      <c r="A2" s="3" t="s">
        <v>96</v>
      </c>
      <c r="B2" s="3" t="s">
        <v>97</v>
      </c>
      <c r="C2" s="3" t="s">
        <v>98</v>
      </c>
      <c r="P2" s="2"/>
    </row>
    <row r="3" spans="1:16" ht="15" customHeight="1" x14ac:dyDescent="0.2">
      <c r="A3" s="4" t="s">
        <v>99</v>
      </c>
      <c r="B3" s="4">
        <v>76</v>
      </c>
      <c r="C3" s="4">
        <v>93</v>
      </c>
    </row>
    <row r="4" spans="1:16" ht="15" customHeight="1" x14ac:dyDescent="0.25">
      <c r="A4" s="4" t="s">
        <v>100</v>
      </c>
      <c r="B4" s="4">
        <v>47</v>
      </c>
      <c r="C4" s="4">
        <v>75</v>
      </c>
      <c r="P4" s="2"/>
    </row>
    <row r="5" spans="1:16" ht="15" customHeight="1" x14ac:dyDescent="0.2">
      <c r="A5" s="4" t="s">
        <v>101</v>
      </c>
      <c r="B5" s="4">
        <v>75</v>
      </c>
      <c r="C5" s="4">
        <v>56</v>
      </c>
    </row>
    <row r="6" spans="1:16" ht="15" customHeight="1" x14ac:dyDescent="0.2">
      <c r="A6" s="4" t="s">
        <v>102</v>
      </c>
      <c r="B6" s="4">
        <v>87</v>
      </c>
      <c r="C6" s="4">
        <v>43</v>
      </c>
    </row>
    <row r="7" spans="1:16" ht="15" customHeight="1" x14ac:dyDescent="0.2">
      <c r="A7" s="4" t="s">
        <v>103</v>
      </c>
      <c r="B7" s="4">
        <v>48</v>
      </c>
      <c r="C7" s="4">
        <v>73</v>
      </c>
    </row>
  </sheetData>
  <phoneticPr fontId="3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W23"/>
  <sheetViews>
    <sheetView showGridLines="0" workbookViewId="0">
      <selection activeCell="H5" sqref="H5"/>
    </sheetView>
  </sheetViews>
  <sheetFormatPr defaultRowHeight="15" customHeight="1" x14ac:dyDescent="0.2"/>
  <cols>
    <col min="1" max="3" width="5" style="36" bestFit="1" customWidth="1"/>
    <col min="4" max="5" width="5" style="37" bestFit="1" customWidth="1"/>
    <col min="6" max="22" width="5" style="34" bestFit="1" customWidth="1"/>
    <col min="23" max="23" width="9" style="34"/>
  </cols>
  <sheetData>
    <row r="2" spans="1:22" ht="14.25" x14ac:dyDescent="0.2">
      <c r="A2" s="9"/>
      <c r="B2" s="33">
        <v>-1</v>
      </c>
      <c r="C2" s="33">
        <f>B2+0.1</f>
        <v>-0.9</v>
      </c>
      <c r="D2" s="33">
        <f t="shared" ref="D2:U2" si="0">C2+0.1</f>
        <v>-0.8</v>
      </c>
      <c r="E2" s="33">
        <f t="shared" si="0"/>
        <v>-0.70000000000000007</v>
      </c>
      <c r="F2" s="33">
        <f t="shared" si="0"/>
        <v>-0.60000000000000009</v>
      </c>
      <c r="G2" s="33">
        <f t="shared" si="0"/>
        <v>-0.50000000000000011</v>
      </c>
      <c r="H2" s="33">
        <f t="shared" si="0"/>
        <v>-0.40000000000000013</v>
      </c>
      <c r="I2" s="33">
        <f t="shared" si="0"/>
        <v>-0.30000000000000016</v>
      </c>
      <c r="J2" s="33">
        <f t="shared" si="0"/>
        <v>-0.20000000000000015</v>
      </c>
      <c r="K2" s="33">
        <f t="shared" si="0"/>
        <v>-0.10000000000000014</v>
      </c>
      <c r="L2" s="33">
        <f t="shared" si="0"/>
        <v>-1.3877787807814457E-16</v>
      </c>
      <c r="M2" s="33">
        <f t="shared" si="0"/>
        <v>9.9999999999999867E-2</v>
      </c>
      <c r="N2" s="33">
        <f t="shared" si="0"/>
        <v>0.19999999999999987</v>
      </c>
      <c r="O2" s="33">
        <f t="shared" si="0"/>
        <v>0.29999999999999988</v>
      </c>
      <c r="P2" s="33">
        <f t="shared" si="0"/>
        <v>0.39999999999999991</v>
      </c>
      <c r="Q2" s="33">
        <f t="shared" si="0"/>
        <v>0.49999999999999989</v>
      </c>
      <c r="R2" s="33">
        <f t="shared" si="0"/>
        <v>0.59999999999999987</v>
      </c>
      <c r="S2" s="33">
        <f t="shared" si="0"/>
        <v>0.69999999999999984</v>
      </c>
      <c r="T2" s="33">
        <f t="shared" si="0"/>
        <v>0.79999999999999982</v>
      </c>
      <c r="U2" s="33">
        <f t="shared" si="0"/>
        <v>0.8999999999999998</v>
      </c>
      <c r="V2" s="33">
        <f>U2+0.1</f>
        <v>0.99999999999999978</v>
      </c>
    </row>
    <row r="3" spans="1:22" ht="14.25" x14ac:dyDescent="0.2">
      <c r="A3" s="33">
        <v>-1</v>
      </c>
      <c r="B3" s="35">
        <f>($A3^2/4+B$2^2/9)</f>
        <v>0.3611111111111111</v>
      </c>
      <c r="C3" s="35">
        <f t="shared" ref="C3:V15" si="1">($A3^2/4+C$2^2/9)</f>
        <v>0.34</v>
      </c>
      <c r="D3" s="35">
        <f t="shared" si="1"/>
        <v>0.32111111111111112</v>
      </c>
      <c r="E3" s="35">
        <f t="shared" si="1"/>
        <v>0.30444444444444446</v>
      </c>
      <c r="F3" s="35">
        <f t="shared" si="1"/>
        <v>0.29000000000000004</v>
      </c>
      <c r="G3" s="35">
        <f t="shared" si="1"/>
        <v>0.27777777777777779</v>
      </c>
      <c r="H3" s="35">
        <f t="shared" si="1"/>
        <v>0.26777777777777778</v>
      </c>
      <c r="I3" s="35">
        <f t="shared" si="1"/>
        <v>0.26</v>
      </c>
      <c r="J3" s="35">
        <f t="shared" si="1"/>
        <v>0.25444444444444447</v>
      </c>
      <c r="K3" s="35">
        <f t="shared" si="1"/>
        <v>0.25111111111111112</v>
      </c>
      <c r="L3" s="35">
        <f t="shared" si="1"/>
        <v>0.25</v>
      </c>
      <c r="M3" s="35">
        <f t="shared" si="1"/>
        <v>0.25111111111111112</v>
      </c>
      <c r="N3" s="35">
        <f t="shared" si="1"/>
        <v>0.25444444444444442</v>
      </c>
      <c r="O3" s="35">
        <f t="shared" si="1"/>
        <v>0.26</v>
      </c>
      <c r="P3" s="35">
        <f t="shared" si="1"/>
        <v>0.26777777777777778</v>
      </c>
      <c r="Q3" s="35">
        <f t="shared" si="1"/>
        <v>0.27777777777777779</v>
      </c>
      <c r="R3" s="35">
        <f t="shared" si="1"/>
        <v>0.28999999999999998</v>
      </c>
      <c r="S3" s="35">
        <f t="shared" si="1"/>
        <v>0.30444444444444441</v>
      </c>
      <c r="T3" s="35">
        <f t="shared" si="1"/>
        <v>0.32111111111111107</v>
      </c>
      <c r="U3" s="35">
        <f t="shared" si="1"/>
        <v>0.33999999999999997</v>
      </c>
      <c r="V3" s="35">
        <f t="shared" si="1"/>
        <v>0.36111111111111105</v>
      </c>
    </row>
    <row r="4" spans="1:22" ht="14.25" x14ac:dyDescent="0.2">
      <c r="A4" s="33">
        <f>A3+0.1</f>
        <v>-0.9</v>
      </c>
      <c r="B4" s="35">
        <f t="shared" ref="B4:Q23" si="2">($A4^2/4+B$2^2/9)</f>
        <v>0.31361111111111112</v>
      </c>
      <c r="C4" s="35">
        <f t="shared" si="1"/>
        <v>0.29250000000000004</v>
      </c>
      <c r="D4" s="35">
        <f t="shared" si="1"/>
        <v>0.27361111111111114</v>
      </c>
      <c r="E4" s="35">
        <f t="shared" si="1"/>
        <v>0.25694444444444448</v>
      </c>
      <c r="F4" s="35">
        <f t="shared" si="1"/>
        <v>0.24250000000000002</v>
      </c>
      <c r="G4" s="35">
        <f t="shared" si="1"/>
        <v>0.2302777777777778</v>
      </c>
      <c r="H4" s="35">
        <f t="shared" si="1"/>
        <v>0.22027777777777779</v>
      </c>
      <c r="I4" s="35">
        <f t="shared" si="1"/>
        <v>0.21250000000000002</v>
      </c>
      <c r="J4" s="35">
        <f t="shared" si="1"/>
        <v>0.20694444444444446</v>
      </c>
      <c r="K4" s="35">
        <f t="shared" si="1"/>
        <v>0.20361111111111113</v>
      </c>
      <c r="L4" s="35">
        <f t="shared" si="1"/>
        <v>0.20250000000000001</v>
      </c>
      <c r="M4" s="35">
        <f t="shared" si="1"/>
        <v>0.20361111111111113</v>
      </c>
      <c r="N4" s="35">
        <f t="shared" si="1"/>
        <v>0.20694444444444446</v>
      </c>
      <c r="O4" s="35">
        <f t="shared" si="1"/>
        <v>0.21249999999999999</v>
      </c>
      <c r="P4" s="35">
        <f t="shared" si="1"/>
        <v>0.22027777777777779</v>
      </c>
      <c r="Q4" s="35">
        <f t="shared" si="1"/>
        <v>0.23027777777777778</v>
      </c>
      <c r="R4" s="35">
        <f t="shared" si="1"/>
        <v>0.24249999999999999</v>
      </c>
      <c r="S4" s="35">
        <f t="shared" si="1"/>
        <v>0.25694444444444442</v>
      </c>
      <c r="T4" s="35">
        <f t="shared" si="1"/>
        <v>0.27361111111111108</v>
      </c>
      <c r="U4" s="35">
        <f t="shared" si="1"/>
        <v>0.29249999999999998</v>
      </c>
      <c r="V4" s="35">
        <f t="shared" si="1"/>
        <v>0.31361111111111106</v>
      </c>
    </row>
    <row r="5" spans="1:22" ht="14.25" x14ac:dyDescent="0.2">
      <c r="A5" s="33">
        <f t="shared" ref="A5:A23" si="3">A4+0.1</f>
        <v>-0.8</v>
      </c>
      <c r="B5" s="35">
        <f t="shared" si="2"/>
        <v>0.27111111111111114</v>
      </c>
      <c r="C5" s="35">
        <f t="shared" si="1"/>
        <v>0.25000000000000006</v>
      </c>
      <c r="D5" s="35">
        <f t="shared" si="1"/>
        <v>0.23111111111111116</v>
      </c>
      <c r="E5" s="35">
        <f t="shared" si="1"/>
        <v>0.21444444444444449</v>
      </c>
      <c r="F5" s="35">
        <f t="shared" si="1"/>
        <v>0.20000000000000004</v>
      </c>
      <c r="G5" s="35">
        <f t="shared" si="1"/>
        <v>0.18777777777777782</v>
      </c>
      <c r="H5" s="35">
        <f t="shared" si="1"/>
        <v>0.17777777777777781</v>
      </c>
      <c r="I5" s="35">
        <f t="shared" si="1"/>
        <v>0.17000000000000004</v>
      </c>
      <c r="J5" s="35">
        <f t="shared" si="1"/>
        <v>0.16444444444444448</v>
      </c>
      <c r="K5" s="35">
        <f t="shared" si="1"/>
        <v>0.16111111111111115</v>
      </c>
      <c r="L5" s="35">
        <f t="shared" si="1"/>
        <v>0.16000000000000003</v>
      </c>
      <c r="M5" s="35">
        <f t="shared" si="1"/>
        <v>0.16111111111111115</v>
      </c>
      <c r="N5" s="35">
        <f t="shared" si="1"/>
        <v>0.16444444444444448</v>
      </c>
      <c r="O5" s="35">
        <f t="shared" si="1"/>
        <v>0.17</v>
      </c>
      <c r="P5" s="35">
        <f t="shared" si="1"/>
        <v>0.17777777777777781</v>
      </c>
      <c r="Q5" s="35">
        <f t="shared" si="1"/>
        <v>0.18777777777777779</v>
      </c>
      <c r="R5" s="35">
        <f t="shared" si="1"/>
        <v>0.2</v>
      </c>
      <c r="S5" s="35">
        <f t="shared" si="1"/>
        <v>0.21444444444444444</v>
      </c>
      <c r="T5" s="35">
        <f t="shared" si="1"/>
        <v>0.2311111111111111</v>
      </c>
      <c r="U5" s="35">
        <f t="shared" si="1"/>
        <v>0.25</v>
      </c>
      <c r="V5" s="35">
        <f t="shared" si="1"/>
        <v>0.27111111111111108</v>
      </c>
    </row>
    <row r="6" spans="1:22" ht="14.25" x14ac:dyDescent="0.2">
      <c r="A6" s="33">
        <f t="shared" si="3"/>
        <v>-0.70000000000000007</v>
      </c>
      <c r="B6" s="35">
        <f t="shared" si="2"/>
        <v>0.23361111111111113</v>
      </c>
      <c r="C6" s="35">
        <f t="shared" si="1"/>
        <v>0.21250000000000002</v>
      </c>
      <c r="D6" s="35">
        <f t="shared" si="1"/>
        <v>0.19361111111111115</v>
      </c>
      <c r="E6" s="35">
        <f t="shared" si="1"/>
        <v>0.17694444444444449</v>
      </c>
      <c r="F6" s="35">
        <f t="shared" si="1"/>
        <v>0.16250000000000003</v>
      </c>
      <c r="G6" s="35">
        <f t="shared" si="1"/>
        <v>0.15027777777777782</v>
      </c>
      <c r="H6" s="35">
        <f t="shared" si="1"/>
        <v>0.14027777777777781</v>
      </c>
      <c r="I6" s="35">
        <f t="shared" si="1"/>
        <v>0.13250000000000003</v>
      </c>
      <c r="J6" s="35">
        <f t="shared" si="1"/>
        <v>0.12694444444444447</v>
      </c>
      <c r="K6" s="35">
        <f t="shared" si="1"/>
        <v>0.12361111111111114</v>
      </c>
      <c r="L6" s="35">
        <f t="shared" si="1"/>
        <v>0.12250000000000003</v>
      </c>
      <c r="M6" s="35">
        <f t="shared" si="1"/>
        <v>0.12361111111111113</v>
      </c>
      <c r="N6" s="35">
        <f t="shared" si="1"/>
        <v>0.12694444444444447</v>
      </c>
      <c r="O6" s="35">
        <f t="shared" si="1"/>
        <v>0.13250000000000001</v>
      </c>
      <c r="P6" s="35">
        <f t="shared" si="1"/>
        <v>0.14027777777777778</v>
      </c>
      <c r="Q6" s="35">
        <f t="shared" si="1"/>
        <v>0.15027777777777779</v>
      </c>
      <c r="R6" s="35">
        <f t="shared" si="1"/>
        <v>0.16250000000000001</v>
      </c>
      <c r="S6" s="35">
        <f t="shared" si="1"/>
        <v>0.17694444444444446</v>
      </c>
      <c r="T6" s="35">
        <f t="shared" si="1"/>
        <v>0.19361111111111109</v>
      </c>
      <c r="U6" s="35">
        <f t="shared" si="1"/>
        <v>0.21249999999999997</v>
      </c>
      <c r="V6" s="35">
        <f t="shared" si="1"/>
        <v>0.2336111111111111</v>
      </c>
    </row>
    <row r="7" spans="1:22" ht="14.25" x14ac:dyDescent="0.2">
      <c r="A7" s="33">
        <f t="shared" si="3"/>
        <v>-0.60000000000000009</v>
      </c>
      <c r="B7" s="35">
        <f t="shared" si="2"/>
        <v>0.20111111111111113</v>
      </c>
      <c r="C7" s="35">
        <f t="shared" si="1"/>
        <v>0.18000000000000005</v>
      </c>
      <c r="D7" s="35">
        <f t="shared" si="1"/>
        <v>0.16111111111111115</v>
      </c>
      <c r="E7" s="35">
        <f t="shared" si="1"/>
        <v>0.14444444444444449</v>
      </c>
      <c r="F7" s="35">
        <f t="shared" si="1"/>
        <v>0.13000000000000003</v>
      </c>
      <c r="G7" s="35">
        <f t="shared" si="1"/>
        <v>0.11777777777777781</v>
      </c>
      <c r="H7" s="35">
        <f t="shared" si="1"/>
        <v>0.10777777777777782</v>
      </c>
      <c r="I7" s="35">
        <f t="shared" si="1"/>
        <v>0.10000000000000003</v>
      </c>
      <c r="J7" s="35">
        <f t="shared" si="1"/>
        <v>9.444444444444447E-2</v>
      </c>
      <c r="K7" s="35">
        <f t="shared" si="1"/>
        <v>9.1111111111111143E-2</v>
      </c>
      <c r="L7" s="35">
        <f t="shared" si="1"/>
        <v>9.0000000000000024E-2</v>
      </c>
      <c r="M7" s="35">
        <f t="shared" si="1"/>
        <v>9.1111111111111129E-2</v>
      </c>
      <c r="N7" s="35">
        <f t="shared" si="1"/>
        <v>9.444444444444447E-2</v>
      </c>
      <c r="O7" s="35">
        <f t="shared" si="1"/>
        <v>0.10000000000000002</v>
      </c>
      <c r="P7" s="35">
        <f t="shared" si="1"/>
        <v>0.10777777777777779</v>
      </c>
      <c r="Q7" s="35">
        <f t="shared" si="1"/>
        <v>0.11777777777777779</v>
      </c>
      <c r="R7" s="35">
        <f t="shared" si="1"/>
        <v>0.13</v>
      </c>
      <c r="S7" s="35">
        <f t="shared" si="1"/>
        <v>0.14444444444444443</v>
      </c>
      <c r="T7" s="35">
        <f t="shared" si="1"/>
        <v>0.16111111111111109</v>
      </c>
      <c r="U7" s="35">
        <f t="shared" si="1"/>
        <v>0.18</v>
      </c>
      <c r="V7" s="35">
        <f t="shared" si="1"/>
        <v>0.20111111111111107</v>
      </c>
    </row>
    <row r="8" spans="1:22" ht="14.25" x14ac:dyDescent="0.2">
      <c r="A8" s="33">
        <f t="shared" si="3"/>
        <v>-0.50000000000000011</v>
      </c>
      <c r="B8" s="35">
        <f t="shared" si="2"/>
        <v>0.17361111111111113</v>
      </c>
      <c r="C8" s="35">
        <f t="shared" si="1"/>
        <v>0.15250000000000002</v>
      </c>
      <c r="D8" s="35">
        <f t="shared" si="1"/>
        <v>0.13361111111111115</v>
      </c>
      <c r="E8" s="35">
        <f t="shared" si="1"/>
        <v>0.11694444444444449</v>
      </c>
      <c r="F8" s="35">
        <f t="shared" si="1"/>
        <v>0.10250000000000004</v>
      </c>
      <c r="G8" s="35">
        <f t="shared" si="1"/>
        <v>9.0277777777777818E-2</v>
      </c>
      <c r="H8" s="35">
        <f t="shared" si="1"/>
        <v>8.0277777777777823E-2</v>
      </c>
      <c r="I8" s="35">
        <f t="shared" si="1"/>
        <v>7.2500000000000037E-2</v>
      </c>
      <c r="J8" s="35">
        <f t="shared" si="1"/>
        <v>6.6944444444444473E-2</v>
      </c>
      <c r="K8" s="35">
        <f t="shared" si="1"/>
        <v>6.3611111111111146E-2</v>
      </c>
      <c r="L8" s="35">
        <f t="shared" si="1"/>
        <v>6.2500000000000028E-2</v>
      </c>
      <c r="M8" s="35">
        <f t="shared" si="1"/>
        <v>6.3611111111111132E-2</v>
      </c>
      <c r="N8" s="35">
        <f t="shared" si="1"/>
        <v>6.6944444444444473E-2</v>
      </c>
      <c r="O8" s="35">
        <f t="shared" si="1"/>
        <v>7.2500000000000023E-2</v>
      </c>
      <c r="P8" s="35">
        <f t="shared" si="1"/>
        <v>8.0277777777777795E-2</v>
      </c>
      <c r="Q8" s="35">
        <f t="shared" si="1"/>
        <v>9.027777777777779E-2</v>
      </c>
      <c r="R8" s="35">
        <f t="shared" si="1"/>
        <v>0.10250000000000001</v>
      </c>
      <c r="S8" s="35">
        <f t="shared" si="1"/>
        <v>0.11694444444444445</v>
      </c>
      <c r="T8" s="35">
        <f t="shared" si="1"/>
        <v>0.1336111111111111</v>
      </c>
      <c r="U8" s="35">
        <f t="shared" si="1"/>
        <v>0.15249999999999997</v>
      </c>
      <c r="V8" s="35">
        <f t="shared" si="1"/>
        <v>0.1736111111111111</v>
      </c>
    </row>
    <row r="9" spans="1:22" ht="14.25" x14ac:dyDescent="0.2">
      <c r="A9" s="33">
        <f t="shared" si="3"/>
        <v>-0.40000000000000013</v>
      </c>
      <c r="B9" s="35">
        <f t="shared" si="2"/>
        <v>0.15111111111111114</v>
      </c>
      <c r="C9" s="35">
        <f t="shared" si="1"/>
        <v>0.13000000000000003</v>
      </c>
      <c r="D9" s="35">
        <f t="shared" si="1"/>
        <v>0.11111111111111116</v>
      </c>
      <c r="E9" s="35">
        <f t="shared" si="1"/>
        <v>9.4444444444444484E-2</v>
      </c>
      <c r="F9" s="35">
        <f t="shared" si="1"/>
        <v>8.0000000000000043E-2</v>
      </c>
      <c r="G9" s="35">
        <f t="shared" si="1"/>
        <v>6.7777777777777826E-2</v>
      </c>
      <c r="H9" s="35">
        <f t="shared" si="1"/>
        <v>5.7777777777777817E-2</v>
      </c>
      <c r="I9" s="35">
        <f t="shared" si="1"/>
        <v>5.0000000000000037E-2</v>
      </c>
      <c r="J9" s="35">
        <f t="shared" si="1"/>
        <v>4.4444444444444481E-2</v>
      </c>
      <c r="K9" s="35">
        <f t="shared" si="1"/>
        <v>4.111111111111114E-2</v>
      </c>
      <c r="L9" s="35">
        <f t="shared" si="1"/>
        <v>4.0000000000000029E-2</v>
      </c>
      <c r="M9" s="35">
        <f t="shared" si="1"/>
        <v>4.111111111111114E-2</v>
      </c>
      <c r="N9" s="35">
        <f t="shared" si="1"/>
        <v>4.4444444444444467E-2</v>
      </c>
      <c r="O9" s="35">
        <f t="shared" si="1"/>
        <v>5.0000000000000017E-2</v>
      </c>
      <c r="P9" s="35">
        <f t="shared" si="1"/>
        <v>5.7777777777777796E-2</v>
      </c>
      <c r="Q9" s="35">
        <f t="shared" si="1"/>
        <v>6.7777777777777798E-2</v>
      </c>
      <c r="R9" s="35">
        <f t="shared" si="1"/>
        <v>8.0000000000000016E-2</v>
      </c>
      <c r="S9" s="35">
        <f t="shared" si="1"/>
        <v>9.4444444444444442E-2</v>
      </c>
      <c r="T9" s="35">
        <f t="shared" si="1"/>
        <v>0.1111111111111111</v>
      </c>
      <c r="U9" s="35">
        <f t="shared" si="1"/>
        <v>0.12999999999999998</v>
      </c>
      <c r="V9" s="35">
        <f t="shared" si="1"/>
        <v>0.15111111111111108</v>
      </c>
    </row>
    <row r="10" spans="1:22" ht="14.25" x14ac:dyDescent="0.2">
      <c r="A10" s="33">
        <f t="shared" si="3"/>
        <v>-0.30000000000000016</v>
      </c>
      <c r="B10" s="35">
        <f t="shared" si="2"/>
        <v>0.13361111111111112</v>
      </c>
      <c r="C10" s="35">
        <f t="shared" si="1"/>
        <v>0.11250000000000003</v>
      </c>
      <c r="D10" s="35">
        <f t="shared" si="1"/>
        <v>9.3611111111111145E-2</v>
      </c>
      <c r="E10" s="35">
        <f t="shared" si="1"/>
        <v>7.6944444444444482E-2</v>
      </c>
      <c r="F10" s="35">
        <f t="shared" si="1"/>
        <v>6.2500000000000028E-2</v>
      </c>
      <c r="G10" s="35">
        <f t="shared" si="1"/>
        <v>5.027777777777781E-2</v>
      </c>
      <c r="H10" s="35">
        <f t="shared" si="1"/>
        <v>4.0277777777777815E-2</v>
      </c>
      <c r="I10" s="35">
        <f t="shared" si="1"/>
        <v>3.2500000000000036E-2</v>
      </c>
      <c r="J10" s="35">
        <f t="shared" si="1"/>
        <v>2.6944444444444476E-2</v>
      </c>
      <c r="K10" s="35">
        <f t="shared" si="1"/>
        <v>2.3611111111111138E-2</v>
      </c>
      <c r="L10" s="35">
        <f t="shared" si="1"/>
        <v>2.2500000000000023E-2</v>
      </c>
      <c r="M10" s="35">
        <f t="shared" si="1"/>
        <v>2.3611111111111131E-2</v>
      </c>
      <c r="N10" s="35">
        <f t="shared" si="1"/>
        <v>2.6944444444444462E-2</v>
      </c>
      <c r="O10" s="35">
        <f t="shared" si="1"/>
        <v>3.2500000000000015E-2</v>
      </c>
      <c r="P10" s="35">
        <f t="shared" si="1"/>
        <v>4.0277777777777787E-2</v>
      </c>
      <c r="Q10" s="35">
        <f t="shared" si="1"/>
        <v>5.0277777777777789E-2</v>
      </c>
      <c r="R10" s="35">
        <f t="shared" si="1"/>
        <v>6.25E-2</v>
      </c>
      <c r="S10" s="35">
        <f t="shared" si="1"/>
        <v>7.694444444444444E-2</v>
      </c>
      <c r="T10" s="35">
        <f t="shared" si="1"/>
        <v>9.3611111111111089E-2</v>
      </c>
      <c r="U10" s="35">
        <f t="shared" si="1"/>
        <v>0.11249999999999998</v>
      </c>
      <c r="V10" s="35">
        <f t="shared" si="1"/>
        <v>0.1336111111111111</v>
      </c>
    </row>
    <row r="11" spans="1:22" ht="14.25" x14ac:dyDescent="0.2">
      <c r="A11" s="33">
        <f t="shared" si="3"/>
        <v>-0.20000000000000015</v>
      </c>
      <c r="B11" s="35">
        <f t="shared" si="2"/>
        <v>0.12111111111111111</v>
      </c>
      <c r="C11" s="35">
        <f t="shared" si="1"/>
        <v>0.10000000000000003</v>
      </c>
      <c r="D11" s="35">
        <f t="shared" si="1"/>
        <v>8.1111111111111134E-2</v>
      </c>
      <c r="E11" s="35">
        <f t="shared" si="1"/>
        <v>6.4444444444444471E-2</v>
      </c>
      <c r="F11" s="35">
        <f t="shared" si="1"/>
        <v>5.0000000000000024E-2</v>
      </c>
      <c r="G11" s="35">
        <f t="shared" si="1"/>
        <v>3.7777777777777806E-2</v>
      </c>
      <c r="H11" s="35">
        <f t="shared" si="1"/>
        <v>2.7777777777777807E-2</v>
      </c>
      <c r="I11" s="35">
        <f t="shared" si="1"/>
        <v>2.0000000000000025E-2</v>
      </c>
      <c r="J11" s="35">
        <f t="shared" si="1"/>
        <v>1.4444444444444468E-2</v>
      </c>
      <c r="K11" s="35">
        <f t="shared" si="1"/>
        <v>1.1111111111111131E-2</v>
      </c>
      <c r="L11" s="35">
        <f t="shared" si="1"/>
        <v>1.0000000000000016E-2</v>
      </c>
      <c r="M11" s="35">
        <f t="shared" si="1"/>
        <v>1.1111111111111124E-2</v>
      </c>
      <c r="N11" s="35">
        <f t="shared" si="1"/>
        <v>1.4444444444444454E-2</v>
      </c>
      <c r="O11" s="35">
        <f t="shared" si="1"/>
        <v>2.0000000000000007E-2</v>
      </c>
      <c r="P11" s="35">
        <f t="shared" si="1"/>
        <v>2.7777777777777783E-2</v>
      </c>
      <c r="Q11" s="35">
        <f t="shared" si="1"/>
        <v>3.7777777777777785E-2</v>
      </c>
      <c r="R11" s="35">
        <f t="shared" si="1"/>
        <v>4.9999999999999996E-2</v>
      </c>
      <c r="S11" s="35">
        <f t="shared" si="1"/>
        <v>6.4444444444444443E-2</v>
      </c>
      <c r="T11" s="35">
        <f t="shared" si="1"/>
        <v>8.1111111111111078E-2</v>
      </c>
      <c r="U11" s="35">
        <f t="shared" si="1"/>
        <v>9.9999999999999978E-2</v>
      </c>
      <c r="V11" s="35">
        <f t="shared" si="1"/>
        <v>0.12111111111111109</v>
      </c>
    </row>
    <row r="12" spans="1:22" ht="14.25" x14ac:dyDescent="0.2">
      <c r="A12" s="33">
        <f t="shared" si="3"/>
        <v>-0.10000000000000014</v>
      </c>
      <c r="B12" s="35">
        <f t="shared" si="2"/>
        <v>0.11361111111111111</v>
      </c>
      <c r="C12" s="35">
        <f t="shared" si="1"/>
        <v>9.2500000000000013E-2</v>
      </c>
      <c r="D12" s="35">
        <f t="shared" si="1"/>
        <v>7.3611111111111127E-2</v>
      </c>
      <c r="E12" s="35">
        <f t="shared" si="1"/>
        <v>5.6944444444444464E-2</v>
      </c>
      <c r="F12" s="35">
        <f t="shared" si="1"/>
        <v>4.2500000000000017E-2</v>
      </c>
      <c r="G12" s="35">
        <f t="shared" si="1"/>
        <v>3.0277777777777799E-2</v>
      </c>
      <c r="H12" s="35">
        <f t="shared" si="1"/>
        <v>2.0277777777777797E-2</v>
      </c>
      <c r="I12" s="35">
        <f t="shared" si="1"/>
        <v>1.2500000000000018E-2</v>
      </c>
      <c r="J12" s="35">
        <f t="shared" si="1"/>
        <v>6.9444444444444588E-3</v>
      </c>
      <c r="K12" s="35">
        <f t="shared" si="1"/>
        <v>3.6111111111111218E-3</v>
      </c>
      <c r="L12" s="35">
        <f t="shared" si="1"/>
        <v>2.5000000000000074E-3</v>
      </c>
      <c r="M12" s="35">
        <f t="shared" si="1"/>
        <v>3.6111111111111157E-3</v>
      </c>
      <c r="N12" s="35">
        <f t="shared" si="1"/>
        <v>6.9444444444444467E-3</v>
      </c>
      <c r="O12" s="35">
        <f t="shared" si="1"/>
        <v>1.2499999999999999E-2</v>
      </c>
      <c r="P12" s="35">
        <f t="shared" si="1"/>
        <v>2.0277777777777777E-2</v>
      </c>
      <c r="Q12" s="35">
        <f t="shared" si="1"/>
        <v>3.0277777777777772E-2</v>
      </c>
      <c r="R12" s="35">
        <f t="shared" si="1"/>
        <v>4.2499999999999989E-2</v>
      </c>
      <c r="S12" s="35">
        <f t="shared" si="1"/>
        <v>5.6944444444444429E-2</v>
      </c>
      <c r="T12" s="35">
        <f t="shared" si="1"/>
        <v>7.3611111111111072E-2</v>
      </c>
      <c r="U12" s="35">
        <f t="shared" si="1"/>
        <v>9.2499999999999957E-2</v>
      </c>
      <c r="V12" s="35">
        <f t="shared" si="1"/>
        <v>0.11361111111111107</v>
      </c>
    </row>
    <row r="13" spans="1:22" ht="14.25" x14ac:dyDescent="0.2">
      <c r="A13" s="33">
        <f t="shared" si="3"/>
        <v>-1.3877787807814457E-16</v>
      </c>
      <c r="B13" s="35">
        <f t="shared" si="2"/>
        <v>0.1111111111111111</v>
      </c>
      <c r="C13" s="35">
        <f t="shared" si="1"/>
        <v>9.0000000000000011E-2</v>
      </c>
      <c r="D13" s="35">
        <f t="shared" si="1"/>
        <v>7.1111111111111125E-2</v>
      </c>
      <c r="E13" s="35">
        <f t="shared" si="1"/>
        <v>5.4444444444444455E-2</v>
      </c>
      <c r="F13" s="35">
        <f t="shared" si="1"/>
        <v>4.0000000000000008E-2</v>
      </c>
      <c r="G13" s="35">
        <f t="shared" si="1"/>
        <v>2.777777777777779E-2</v>
      </c>
      <c r="H13" s="35">
        <f t="shared" si="1"/>
        <v>1.7777777777777792E-2</v>
      </c>
      <c r="I13" s="35">
        <f t="shared" si="1"/>
        <v>1.0000000000000011E-2</v>
      </c>
      <c r="J13" s="35">
        <f t="shared" si="1"/>
        <v>4.4444444444444514E-3</v>
      </c>
      <c r="K13" s="35">
        <f t="shared" si="1"/>
        <v>1.1111111111111144E-3</v>
      </c>
      <c r="L13" s="35">
        <f t="shared" si="1"/>
        <v>6.9547470213983523E-33</v>
      </c>
      <c r="M13" s="35">
        <f t="shared" si="1"/>
        <v>1.1111111111111083E-3</v>
      </c>
      <c r="N13" s="35">
        <f t="shared" si="1"/>
        <v>4.4444444444444392E-3</v>
      </c>
      <c r="O13" s="35">
        <f t="shared" si="1"/>
        <v>9.9999999999999915E-3</v>
      </c>
      <c r="P13" s="35">
        <f t="shared" si="1"/>
        <v>1.7777777777777767E-2</v>
      </c>
      <c r="Q13" s="35">
        <f t="shared" si="1"/>
        <v>2.7777777777777766E-2</v>
      </c>
      <c r="R13" s="35">
        <f t="shared" si="1"/>
        <v>3.999999999999998E-2</v>
      </c>
      <c r="S13" s="35">
        <f t="shared" si="1"/>
        <v>5.444444444444442E-2</v>
      </c>
      <c r="T13" s="35">
        <f t="shared" si="1"/>
        <v>7.1111111111111069E-2</v>
      </c>
      <c r="U13" s="35">
        <f t="shared" si="1"/>
        <v>8.9999999999999955E-2</v>
      </c>
      <c r="V13" s="35">
        <f t="shared" si="1"/>
        <v>0.11111111111111106</v>
      </c>
    </row>
    <row r="14" spans="1:22" ht="14.25" x14ac:dyDescent="0.2">
      <c r="A14" s="33">
        <f t="shared" si="3"/>
        <v>9.9999999999999867E-2</v>
      </c>
      <c r="B14" s="35">
        <f t="shared" si="2"/>
        <v>0.11361111111111109</v>
      </c>
      <c r="C14" s="35">
        <f t="shared" si="1"/>
        <v>9.2499999999999999E-2</v>
      </c>
      <c r="D14" s="35">
        <f t="shared" si="1"/>
        <v>7.3611111111111113E-2</v>
      </c>
      <c r="E14" s="35">
        <f t="shared" si="1"/>
        <v>5.694444444444445E-2</v>
      </c>
      <c r="F14" s="35">
        <f t="shared" si="1"/>
        <v>4.2500000000000003E-2</v>
      </c>
      <c r="G14" s="35">
        <f t="shared" si="1"/>
        <v>3.0277777777777785E-2</v>
      </c>
      <c r="H14" s="35">
        <f t="shared" si="1"/>
        <v>2.0277777777777783E-2</v>
      </c>
      <c r="I14" s="35">
        <f t="shared" si="1"/>
        <v>1.2500000000000004E-2</v>
      </c>
      <c r="J14" s="35">
        <f t="shared" si="1"/>
        <v>6.9444444444444449E-3</v>
      </c>
      <c r="K14" s="35">
        <f t="shared" si="1"/>
        <v>3.6111111111111079E-3</v>
      </c>
      <c r="L14" s="35">
        <f t="shared" si="1"/>
        <v>2.4999999999999935E-3</v>
      </c>
      <c r="M14" s="35">
        <f t="shared" si="1"/>
        <v>3.6111111111111018E-3</v>
      </c>
      <c r="N14" s="35">
        <f t="shared" si="1"/>
        <v>6.9444444444444328E-3</v>
      </c>
      <c r="O14" s="35">
        <f t="shared" si="1"/>
        <v>1.2499999999999985E-2</v>
      </c>
      <c r="P14" s="35">
        <f t="shared" si="1"/>
        <v>2.0277777777777763E-2</v>
      </c>
      <c r="Q14" s="35">
        <f t="shared" si="1"/>
        <v>3.0277777777777758E-2</v>
      </c>
      <c r="R14" s="35">
        <f t="shared" si="1"/>
        <v>4.2499999999999975E-2</v>
      </c>
      <c r="S14" s="35">
        <f t="shared" si="1"/>
        <v>5.6944444444444416E-2</v>
      </c>
      <c r="T14" s="35">
        <f t="shared" si="1"/>
        <v>7.3611111111111058E-2</v>
      </c>
      <c r="U14" s="35">
        <f t="shared" si="1"/>
        <v>9.2499999999999943E-2</v>
      </c>
      <c r="V14" s="35">
        <f t="shared" si="1"/>
        <v>0.11361111111111105</v>
      </c>
    </row>
    <row r="15" spans="1:22" ht="14.25" x14ac:dyDescent="0.2">
      <c r="A15" s="33">
        <f t="shared" si="3"/>
        <v>0.19999999999999987</v>
      </c>
      <c r="B15" s="35">
        <f t="shared" si="2"/>
        <v>0.12111111111111109</v>
      </c>
      <c r="C15" s="35">
        <f t="shared" si="1"/>
        <v>0.1</v>
      </c>
      <c r="D15" s="35">
        <f t="shared" si="1"/>
        <v>8.1111111111111106E-2</v>
      </c>
      <c r="E15" s="35">
        <f t="shared" si="1"/>
        <v>6.4444444444444443E-2</v>
      </c>
      <c r="F15" s="35">
        <f t="shared" si="1"/>
        <v>4.9999999999999996E-2</v>
      </c>
      <c r="G15" s="35">
        <f t="shared" si="1"/>
        <v>3.7777777777777778E-2</v>
      </c>
      <c r="H15" s="35">
        <f t="shared" si="1"/>
        <v>2.777777777777778E-2</v>
      </c>
      <c r="I15" s="35">
        <f t="shared" si="1"/>
        <v>1.9999999999999997E-2</v>
      </c>
      <c r="J15" s="35">
        <f t="shared" si="1"/>
        <v>1.444444444444444E-2</v>
      </c>
      <c r="K15" s="35">
        <f t="shared" si="1"/>
        <v>1.1111111111111103E-2</v>
      </c>
      <c r="L15" s="35">
        <f t="shared" si="1"/>
        <v>9.9999999999999881E-3</v>
      </c>
      <c r="M15" s="35">
        <f t="shared" si="1"/>
        <v>1.1111111111111096E-2</v>
      </c>
      <c r="N15" s="35">
        <f t="shared" si="1"/>
        <v>1.4444444444444426E-2</v>
      </c>
      <c r="O15" s="35">
        <f t="shared" si="1"/>
        <v>1.999999999999998E-2</v>
      </c>
      <c r="P15" s="35">
        <f t="shared" si="1"/>
        <v>2.7777777777777755E-2</v>
      </c>
      <c r="Q15" s="35">
        <f t="shared" si="1"/>
        <v>3.7777777777777757E-2</v>
      </c>
      <c r="R15" s="35">
        <f t="shared" ref="R15:V23" si="4">($A15^2/4+R$2^2/9)</f>
        <v>4.9999999999999968E-2</v>
      </c>
      <c r="S15" s="35">
        <f t="shared" si="4"/>
        <v>6.4444444444444415E-2</v>
      </c>
      <c r="T15" s="35">
        <f t="shared" si="4"/>
        <v>8.1111111111111051E-2</v>
      </c>
      <c r="U15" s="35">
        <f t="shared" si="4"/>
        <v>9.999999999999995E-2</v>
      </c>
      <c r="V15" s="35">
        <f t="shared" si="4"/>
        <v>0.12111111111111106</v>
      </c>
    </row>
    <row r="16" spans="1:22" ht="14.25" x14ac:dyDescent="0.2">
      <c r="A16" s="33">
        <f t="shared" si="3"/>
        <v>0.29999999999999988</v>
      </c>
      <c r="B16" s="35">
        <f t="shared" si="2"/>
        <v>0.1336111111111111</v>
      </c>
      <c r="C16" s="35">
        <f t="shared" si="2"/>
        <v>0.11249999999999999</v>
      </c>
      <c r="D16" s="35">
        <f t="shared" si="2"/>
        <v>9.3611111111111103E-2</v>
      </c>
      <c r="E16" s="35">
        <f t="shared" si="2"/>
        <v>7.694444444444444E-2</v>
      </c>
      <c r="F16" s="35">
        <f t="shared" si="2"/>
        <v>6.2499999999999986E-2</v>
      </c>
      <c r="G16" s="35">
        <f t="shared" si="2"/>
        <v>5.0277777777777768E-2</v>
      </c>
      <c r="H16" s="35">
        <f t="shared" si="2"/>
        <v>4.0277777777777773E-2</v>
      </c>
      <c r="I16" s="35">
        <f t="shared" si="2"/>
        <v>3.2499999999999994E-2</v>
      </c>
      <c r="J16" s="35">
        <f t="shared" si="2"/>
        <v>2.6944444444444434E-2</v>
      </c>
      <c r="K16" s="35">
        <f t="shared" si="2"/>
        <v>2.3611111111111097E-2</v>
      </c>
      <c r="L16" s="35">
        <f t="shared" si="2"/>
        <v>2.2499999999999982E-2</v>
      </c>
      <c r="M16" s="35">
        <f t="shared" si="2"/>
        <v>2.361111111111109E-2</v>
      </c>
      <c r="N16" s="35">
        <f t="shared" si="2"/>
        <v>2.694444444444442E-2</v>
      </c>
      <c r="O16" s="35">
        <f t="shared" si="2"/>
        <v>3.2499999999999973E-2</v>
      </c>
      <c r="P16" s="35">
        <f t="shared" si="2"/>
        <v>4.0277777777777746E-2</v>
      </c>
      <c r="Q16" s="35">
        <f t="shared" si="2"/>
        <v>5.0277777777777748E-2</v>
      </c>
      <c r="R16" s="35">
        <f t="shared" si="4"/>
        <v>6.2499999999999958E-2</v>
      </c>
      <c r="S16" s="35">
        <f t="shared" si="4"/>
        <v>7.6944444444444399E-2</v>
      </c>
      <c r="T16" s="35">
        <f t="shared" si="4"/>
        <v>9.3611111111111048E-2</v>
      </c>
      <c r="U16" s="35">
        <f t="shared" si="4"/>
        <v>0.11249999999999993</v>
      </c>
      <c r="V16" s="35">
        <f t="shared" si="4"/>
        <v>0.13361111111111104</v>
      </c>
    </row>
    <row r="17" spans="1:22" ht="14.25" x14ac:dyDescent="0.2">
      <c r="A17" s="33">
        <f t="shared" si="3"/>
        <v>0.39999999999999991</v>
      </c>
      <c r="B17" s="35">
        <f t="shared" si="2"/>
        <v>0.15111111111111108</v>
      </c>
      <c r="C17" s="35">
        <f t="shared" si="2"/>
        <v>0.13</v>
      </c>
      <c r="D17" s="35">
        <f t="shared" si="2"/>
        <v>0.1111111111111111</v>
      </c>
      <c r="E17" s="35">
        <f t="shared" si="2"/>
        <v>9.4444444444444442E-2</v>
      </c>
      <c r="F17" s="35">
        <f t="shared" si="2"/>
        <v>7.9999999999999988E-2</v>
      </c>
      <c r="G17" s="35">
        <f t="shared" si="2"/>
        <v>6.777777777777777E-2</v>
      </c>
      <c r="H17" s="35">
        <f t="shared" si="2"/>
        <v>5.7777777777777775E-2</v>
      </c>
      <c r="I17" s="35">
        <f t="shared" si="2"/>
        <v>4.9999999999999989E-2</v>
      </c>
      <c r="J17" s="35">
        <f t="shared" si="2"/>
        <v>4.4444444444444432E-2</v>
      </c>
      <c r="K17" s="35">
        <f t="shared" si="2"/>
        <v>4.1111111111111091E-2</v>
      </c>
      <c r="L17" s="35">
        <f t="shared" si="2"/>
        <v>3.999999999999998E-2</v>
      </c>
      <c r="M17" s="35">
        <f t="shared" si="2"/>
        <v>4.1111111111111091E-2</v>
      </c>
      <c r="N17" s="35">
        <f t="shared" si="2"/>
        <v>4.4444444444444418E-2</v>
      </c>
      <c r="O17" s="35">
        <f t="shared" si="2"/>
        <v>4.9999999999999975E-2</v>
      </c>
      <c r="P17" s="35">
        <f t="shared" si="2"/>
        <v>5.7777777777777747E-2</v>
      </c>
      <c r="Q17" s="35">
        <f t="shared" si="2"/>
        <v>6.7777777777777742E-2</v>
      </c>
      <c r="R17" s="35">
        <f t="shared" si="4"/>
        <v>7.999999999999996E-2</v>
      </c>
      <c r="S17" s="35">
        <f t="shared" si="4"/>
        <v>9.44444444444444E-2</v>
      </c>
      <c r="T17" s="35">
        <f t="shared" si="4"/>
        <v>0.11111111111111105</v>
      </c>
      <c r="U17" s="35">
        <f t="shared" si="4"/>
        <v>0.12999999999999995</v>
      </c>
      <c r="V17" s="35">
        <f t="shared" si="4"/>
        <v>0.15111111111111103</v>
      </c>
    </row>
    <row r="18" spans="1:22" ht="14.25" x14ac:dyDescent="0.2">
      <c r="A18" s="33">
        <f t="shared" si="3"/>
        <v>0.49999999999999989</v>
      </c>
      <c r="B18" s="35">
        <f t="shared" si="2"/>
        <v>0.17361111111111108</v>
      </c>
      <c r="C18" s="35">
        <f t="shared" si="2"/>
        <v>0.15249999999999997</v>
      </c>
      <c r="D18" s="35">
        <f t="shared" si="2"/>
        <v>0.1336111111111111</v>
      </c>
      <c r="E18" s="35">
        <f t="shared" si="2"/>
        <v>0.11694444444444443</v>
      </c>
      <c r="F18" s="35">
        <f t="shared" si="2"/>
        <v>0.10249999999999998</v>
      </c>
      <c r="G18" s="35">
        <f t="shared" si="2"/>
        <v>9.0277777777777762E-2</v>
      </c>
      <c r="H18" s="35">
        <f t="shared" si="2"/>
        <v>8.0277777777777767E-2</v>
      </c>
      <c r="I18" s="35">
        <f t="shared" si="2"/>
        <v>7.2499999999999981E-2</v>
      </c>
      <c r="J18" s="35">
        <f t="shared" si="2"/>
        <v>6.6944444444444418E-2</v>
      </c>
      <c r="K18" s="35">
        <f t="shared" si="2"/>
        <v>6.3611111111111091E-2</v>
      </c>
      <c r="L18" s="35">
        <f t="shared" si="2"/>
        <v>6.2499999999999972E-2</v>
      </c>
      <c r="M18" s="35">
        <f t="shared" si="2"/>
        <v>6.3611111111111077E-2</v>
      </c>
      <c r="N18" s="35">
        <f t="shared" si="2"/>
        <v>6.6944444444444418E-2</v>
      </c>
      <c r="O18" s="35">
        <f t="shared" si="2"/>
        <v>7.2499999999999967E-2</v>
      </c>
      <c r="P18" s="35">
        <f t="shared" si="2"/>
        <v>8.027777777777774E-2</v>
      </c>
      <c r="Q18" s="35">
        <f t="shared" si="2"/>
        <v>9.0277777777777735E-2</v>
      </c>
      <c r="R18" s="35">
        <f t="shared" si="4"/>
        <v>0.10249999999999995</v>
      </c>
      <c r="S18" s="35">
        <f t="shared" si="4"/>
        <v>0.11694444444444439</v>
      </c>
      <c r="T18" s="35">
        <f t="shared" si="4"/>
        <v>0.13361111111111104</v>
      </c>
      <c r="U18" s="35">
        <f t="shared" si="4"/>
        <v>0.15249999999999991</v>
      </c>
      <c r="V18" s="35">
        <f t="shared" si="4"/>
        <v>0.17361111111111105</v>
      </c>
    </row>
    <row r="19" spans="1:22" ht="14.25" x14ac:dyDescent="0.2">
      <c r="A19" s="33">
        <f t="shared" si="3"/>
        <v>0.59999999999999987</v>
      </c>
      <c r="B19" s="35">
        <f t="shared" si="2"/>
        <v>0.20111111111111107</v>
      </c>
      <c r="C19" s="35">
        <f t="shared" si="2"/>
        <v>0.17999999999999997</v>
      </c>
      <c r="D19" s="35">
        <f t="shared" si="2"/>
        <v>0.16111111111111109</v>
      </c>
      <c r="E19" s="35">
        <f t="shared" si="2"/>
        <v>0.1444444444444444</v>
      </c>
      <c r="F19" s="35">
        <f t="shared" si="2"/>
        <v>0.12999999999999995</v>
      </c>
      <c r="G19" s="35">
        <f t="shared" si="2"/>
        <v>0.11777777777777775</v>
      </c>
      <c r="H19" s="35">
        <f t="shared" si="2"/>
        <v>0.10777777777777775</v>
      </c>
      <c r="I19" s="35">
        <f t="shared" si="2"/>
        <v>9.9999999999999964E-2</v>
      </c>
      <c r="J19" s="35">
        <f t="shared" si="2"/>
        <v>9.44444444444444E-2</v>
      </c>
      <c r="K19" s="35">
        <f t="shared" si="2"/>
        <v>9.1111111111111073E-2</v>
      </c>
      <c r="L19" s="35">
        <f t="shared" si="2"/>
        <v>8.9999999999999955E-2</v>
      </c>
      <c r="M19" s="35">
        <f t="shared" si="2"/>
        <v>9.1111111111111059E-2</v>
      </c>
      <c r="N19" s="35">
        <f t="shared" si="2"/>
        <v>9.44444444444444E-2</v>
      </c>
      <c r="O19" s="35">
        <f t="shared" si="2"/>
        <v>9.999999999999995E-2</v>
      </c>
      <c r="P19" s="35">
        <f t="shared" si="2"/>
        <v>0.10777777777777772</v>
      </c>
      <c r="Q19" s="35">
        <f t="shared" si="2"/>
        <v>0.11777777777777772</v>
      </c>
      <c r="R19" s="35">
        <f t="shared" si="4"/>
        <v>0.12999999999999995</v>
      </c>
      <c r="S19" s="35">
        <f t="shared" si="4"/>
        <v>0.14444444444444438</v>
      </c>
      <c r="T19" s="35">
        <f t="shared" si="4"/>
        <v>0.16111111111111104</v>
      </c>
      <c r="U19" s="35">
        <f t="shared" si="4"/>
        <v>0.17999999999999991</v>
      </c>
      <c r="V19" s="35">
        <f t="shared" si="4"/>
        <v>0.20111111111111102</v>
      </c>
    </row>
    <row r="20" spans="1:22" ht="14.25" x14ac:dyDescent="0.2">
      <c r="A20" s="33">
        <f t="shared" si="3"/>
        <v>0.69999999999999984</v>
      </c>
      <c r="B20" s="35">
        <f t="shared" si="2"/>
        <v>0.23361111111111105</v>
      </c>
      <c r="C20" s="35">
        <f t="shared" si="2"/>
        <v>0.21249999999999997</v>
      </c>
      <c r="D20" s="35">
        <f t="shared" si="2"/>
        <v>0.19361111111111107</v>
      </c>
      <c r="E20" s="35">
        <f t="shared" si="2"/>
        <v>0.1769444444444444</v>
      </c>
      <c r="F20" s="35">
        <f t="shared" si="2"/>
        <v>0.16249999999999995</v>
      </c>
      <c r="G20" s="35">
        <f t="shared" si="2"/>
        <v>0.15027777777777773</v>
      </c>
      <c r="H20" s="35">
        <f t="shared" si="2"/>
        <v>0.14027777777777772</v>
      </c>
      <c r="I20" s="35">
        <f t="shared" si="2"/>
        <v>0.13249999999999995</v>
      </c>
      <c r="J20" s="35">
        <f t="shared" si="2"/>
        <v>0.12694444444444439</v>
      </c>
      <c r="K20" s="35">
        <f t="shared" si="2"/>
        <v>0.12361111111111106</v>
      </c>
      <c r="L20" s="35">
        <f t="shared" si="2"/>
        <v>0.12249999999999994</v>
      </c>
      <c r="M20" s="35">
        <f t="shared" si="2"/>
        <v>0.12361111111111105</v>
      </c>
      <c r="N20" s="35">
        <f t="shared" si="2"/>
        <v>0.12694444444444439</v>
      </c>
      <c r="O20" s="35">
        <f t="shared" si="2"/>
        <v>0.13249999999999992</v>
      </c>
      <c r="P20" s="35">
        <f t="shared" si="2"/>
        <v>0.14027777777777772</v>
      </c>
      <c r="Q20" s="35">
        <f t="shared" si="2"/>
        <v>0.1502777777777777</v>
      </c>
      <c r="R20" s="35">
        <f t="shared" si="4"/>
        <v>0.16249999999999992</v>
      </c>
      <c r="S20" s="35">
        <f t="shared" si="4"/>
        <v>0.17694444444444435</v>
      </c>
      <c r="T20" s="35">
        <f t="shared" si="4"/>
        <v>0.19361111111111101</v>
      </c>
      <c r="U20" s="35">
        <f t="shared" si="4"/>
        <v>0.21249999999999991</v>
      </c>
      <c r="V20" s="35">
        <f t="shared" si="4"/>
        <v>0.23361111111111099</v>
      </c>
    </row>
    <row r="21" spans="1:22" ht="14.25" x14ac:dyDescent="0.2">
      <c r="A21" s="33">
        <f t="shared" si="3"/>
        <v>0.79999999999999982</v>
      </c>
      <c r="B21" s="35">
        <f t="shared" si="2"/>
        <v>0.27111111111111103</v>
      </c>
      <c r="C21" s="35">
        <f t="shared" si="2"/>
        <v>0.24999999999999994</v>
      </c>
      <c r="D21" s="35">
        <f t="shared" si="2"/>
        <v>0.23111111111111104</v>
      </c>
      <c r="E21" s="35">
        <f t="shared" si="2"/>
        <v>0.21444444444444438</v>
      </c>
      <c r="F21" s="35">
        <f t="shared" si="2"/>
        <v>0.19999999999999993</v>
      </c>
      <c r="G21" s="35">
        <f t="shared" si="2"/>
        <v>0.18777777777777771</v>
      </c>
      <c r="H21" s="35">
        <f t="shared" si="2"/>
        <v>0.1777777777777777</v>
      </c>
      <c r="I21" s="35">
        <f t="shared" si="2"/>
        <v>0.16999999999999993</v>
      </c>
      <c r="J21" s="35">
        <f t="shared" si="2"/>
        <v>0.16444444444444437</v>
      </c>
      <c r="K21" s="35">
        <f t="shared" si="2"/>
        <v>0.16111111111111104</v>
      </c>
      <c r="L21" s="35">
        <f t="shared" si="2"/>
        <v>0.15999999999999992</v>
      </c>
      <c r="M21" s="35">
        <f t="shared" si="2"/>
        <v>0.16111111111111104</v>
      </c>
      <c r="N21" s="35">
        <f t="shared" si="2"/>
        <v>0.16444444444444437</v>
      </c>
      <c r="O21" s="35">
        <f t="shared" si="2"/>
        <v>0.1699999999999999</v>
      </c>
      <c r="P21" s="35">
        <f t="shared" si="2"/>
        <v>0.1777777777777777</v>
      </c>
      <c r="Q21" s="35">
        <f t="shared" si="2"/>
        <v>0.18777777777777768</v>
      </c>
      <c r="R21" s="35">
        <f t="shared" si="4"/>
        <v>0.1999999999999999</v>
      </c>
      <c r="S21" s="35">
        <f t="shared" si="4"/>
        <v>0.21444444444444433</v>
      </c>
      <c r="T21" s="35">
        <f t="shared" si="4"/>
        <v>0.23111111111111099</v>
      </c>
      <c r="U21" s="35">
        <f t="shared" si="4"/>
        <v>0.24999999999999989</v>
      </c>
      <c r="V21" s="35">
        <f t="shared" si="4"/>
        <v>0.27111111111111097</v>
      </c>
    </row>
    <row r="22" spans="1:22" ht="14.25" x14ac:dyDescent="0.2">
      <c r="A22" s="33">
        <f>A21+0.1</f>
        <v>0.8999999999999998</v>
      </c>
      <c r="B22" s="35">
        <f t="shared" si="2"/>
        <v>0.31361111111111101</v>
      </c>
      <c r="C22" s="35">
        <f t="shared" si="2"/>
        <v>0.29249999999999993</v>
      </c>
      <c r="D22" s="35">
        <f t="shared" si="2"/>
        <v>0.27361111111111103</v>
      </c>
      <c r="E22" s="35">
        <f t="shared" si="2"/>
        <v>0.25694444444444436</v>
      </c>
      <c r="F22" s="35">
        <f t="shared" si="2"/>
        <v>0.24249999999999991</v>
      </c>
      <c r="G22" s="35">
        <f t="shared" si="2"/>
        <v>0.23027777777777769</v>
      </c>
      <c r="H22" s="35">
        <f t="shared" si="2"/>
        <v>0.22027777777777768</v>
      </c>
      <c r="I22" s="35">
        <f t="shared" si="2"/>
        <v>0.21249999999999991</v>
      </c>
      <c r="J22" s="35">
        <f t="shared" si="2"/>
        <v>0.20694444444444435</v>
      </c>
      <c r="K22" s="35">
        <f t="shared" si="2"/>
        <v>0.20361111111111102</v>
      </c>
      <c r="L22" s="35">
        <f t="shared" si="2"/>
        <v>0.2024999999999999</v>
      </c>
      <c r="M22" s="35">
        <f t="shared" si="2"/>
        <v>0.20361111111111102</v>
      </c>
      <c r="N22" s="35">
        <f t="shared" si="2"/>
        <v>0.20694444444444435</v>
      </c>
      <c r="O22" s="35">
        <f t="shared" si="2"/>
        <v>0.21249999999999988</v>
      </c>
      <c r="P22" s="35">
        <f t="shared" si="2"/>
        <v>0.22027777777777768</v>
      </c>
      <c r="Q22" s="35">
        <f t="shared" si="2"/>
        <v>0.23027777777777766</v>
      </c>
      <c r="R22" s="35">
        <f t="shared" si="4"/>
        <v>0.24249999999999988</v>
      </c>
      <c r="S22" s="35">
        <f t="shared" si="4"/>
        <v>0.25694444444444431</v>
      </c>
      <c r="T22" s="35">
        <f t="shared" si="4"/>
        <v>0.27361111111111097</v>
      </c>
      <c r="U22" s="35">
        <f t="shared" si="4"/>
        <v>0.29249999999999987</v>
      </c>
      <c r="V22" s="35">
        <f t="shared" si="4"/>
        <v>0.31361111111111095</v>
      </c>
    </row>
    <row r="23" spans="1:22" ht="14.25" x14ac:dyDescent="0.2">
      <c r="A23" s="33">
        <f t="shared" si="3"/>
        <v>0.99999999999999978</v>
      </c>
      <c r="B23" s="35">
        <f t="shared" si="2"/>
        <v>0.36111111111111099</v>
      </c>
      <c r="C23" s="35">
        <f t="shared" si="2"/>
        <v>0.33999999999999991</v>
      </c>
      <c r="D23" s="35">
        <f t="shared" si="2"/>
        <v>0.32111111111111101</v>
      </c>
      <c r="E23" s="35">
        <f t="shared" si="2"/>
        <v>0.30444444444444435</v>
      </c>
      <c r="F23" s="35">
        <f t="shared" si="2"/>
        <v>0.28999999999999992</v>
      </c>
      <c r="G23" s="35">
        <f t="shared" si="2"/>
        <v>0.27777777777777768</v>
      </c>
      <c r="H23" s="35">
        <f t="shared" si="2"/>
        <v>0.26777777777777767</v>
      </c>
      <c r="I23" s="35">
        <f t="shared" si="2"/>
        <v>0.2599999999999999</v>
      </c>
      <c r="J23" s="35">
        <f t="shared" si="2"/>
        <v>0.25444444444444436</v>
      </c>
      <c r="K23" s="35">
        <f t="shared" si="2"/>
        <v>0.25111111111111101</v>
      </c>
      <c r="L23" s="35">
        <f t="shared" si="2"/>
        <v>0.24999999999999989</v>
      </c>
      <c r="M23" s="35">
        <f t="shared" si="2"/>
        <v>0.25111111111111101</v>
      </c>
      <c r="N23" s="35">
        <f t="shared" si="2"/>
        <v>0.25444444444444431</v>
      </c>
      <c r="O23" s="35">
        <f t="shared" si="2"/>
        <v>0.2599999999999999</v>
      </c>
      <c r="P23" s="35">
        <f t="shared" si="2"/>
        <v>0.26777777777777767</v>
      </c>
      <c r="Q23" s="35">
        <f t="shared" si="2"/>
        <v>0.27777777777777768</v>
      </c>
      <c r="R23" s="35">
        <f t="shared" si="4"/>
        <v>0.28999999999999987</v>
      </c>
      <c r="S23" s="35">
        <f t="shared" si="4"/>
        <v>0.3044444444444443</v>
      </c>
      <c r="T23" s="35">
        <f t="shared" si="4"/>
        <v>0.32111111111111096</v>
      </c>
      <c r="U23" s="35">
        <f t="shared" si="4"/>
        <v>0.33999999999999986</v>
      </c>
      <c r="V23" s="35">
        <f t="shared" si="4"/>
        <v>0.36111111111111094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2:E9"/>
  <sheetViews>
    <sheetView showGridLines="0" workbookViewId="0">
      <selection activeCell="E23" sqref="E23"/>
    </sheetView>
  </sheetViews>
  <sheetFormatPr defaultRowHeight="15" customHeight="1" x14ac:dyDescent="0.2"/>
  <cols>
    <col min="1" max="1" width="6.875" style="39" customWidth="1"/>
    <col min="2" max="5" width="10.125" style="39" customWidth="1"/>
    <col min="6" max="16384" width="9" style="39"/>
  </cols>
  <sheetData>
    <row r="2" spans="1:5" ht="15" customHeight="1" x14ac:dyDescent="0.2">
      <c r="A2" s="38" t="s">
        <v>104</v>
      </c>
      <c r="B2" s="38" t="s">
        <v>105</v>
      </c>
      <c r="C2" s="38" t="s">
        <v>106</v>
      </c>
      <c r="D2" s="38" t="s">
        <v>107</v>
      </c>
      <c r="E2" s="38" t="s">
        <v>108</v>
      </c>
    </row>
    <row r="3" spans="1:5" ht="15" customHeight="1" x14ac:dyDescent="0.2">
      <c r="A3" s="40" t="s">
        <v>109</v>
      </c>
      <c r="B3" s="22">
        <v>170</v>
      </c>
      <c r="C3" s="22">
        <v>160</v>
      </c>
      <c r="D3" s="41">
        <f>C3/B3-1</f>
        <v>-5.8823529411764719E-2</v>
      </c>
      <c r="E3" s="42"/>
    </row>
    <row r="4" spans="1:5" ht="15" customHeight="1" x14ac:dyDescent="0.2">
      <c r="A4" s="40" t="s">
        <v>110</v>
      </c>
      <c r="B4" s="22">
        <v>160</v>
      </c>
      <c r="C4" s="22">
        <v>180</v>
      </c>
      <c r="D4" s="41">
        <f t="shared" ref="D4:D7" si="0">C4/B4-1</f>
        <v>0.125</v>
      </c>
      <c r="E4" s="41">
        <f>C4/C3-1</f>
        <v>0.125</v>
      </c>
    </row>
    <row r="5" spans="1:5" ht="15" customHeight="1" x14ac:dyDescent="0.2">
      <c r="A5" s="40" t="s">
        <v>111</v>
      </c>
      <c r="B5" s="22">
        <v>205</v>
      </c>
      <c r="C5" s="22">
        <v>170</v>
      </c>
      <c r="D5" s="41">
        <f t="shared" si="0"/>
        <v>-0.17073170731707321</v>
      </c>
      <c r="E5" s="41">
        <f>C5/C4-1</f>
        <v>-5.555555555555558E-2</v>
      </c>
    </row>
    <row r="6" spans="1:5" ht="15" customHeight="1" x14ac:dyDescent="0.2">
      <c r="A6" s="40" t="s">
        <v>112</v>
      </c>
      <c r="B6" s="22">
        <v>149</v>
      </c>
      <c r="C6" s="22">
        <v>150</v>
      </c>
      <c r="D6" s="41">
        <f t="shared" si="0"/>
        <v>6.7114093959732557E-3</v>
      </c>
      <c r="E6" s="41">
        <f>C6/C5-1</f>
        <v>-0.11764705882352944</v>
      </c>
    </row>
    <row r="7" spans="1:5" ht="15" customHeight="1" x14ac:dyDescent="0.2">
      <c r="A7" s="40" t="s">
        <v>7</v>
      </c>
      <c r="B7" s="22">
        <v>180</v>
      </c>
      <c r="C7" s="22">
        <v>170</v>
      </c>
      <c r="D7" s="41">
        <f t="shared" si="0"/>
        <v>-5.555555555555558E-2</v>
      </c>
      <c r="E7" s="41">
        <f>C7/C6-1</f>
        <v>0.1333333333333333</v>
      </c>
    </row>
    <row r="8" spans="1:5" ht="15" customHeight="1" x14ac:dyDescent="0.2">
      <c r="A8" s="40" t="s">
        <v>8</v>
      </c>
      <c r="B8" s="22">
        <v>195</v>
      </c>
      <c r="C8" s="22">
        <v>205</v>
      </c>
      <c r="D8" s="41">
        <f>C8/B8-1</f>
        <v>5.1282051282051322E-2</v>
      </c>
      <c r="E8" s="41">
        <f>C8/C7-1</f>
        <v>0.20588235294117641</v>
      </c>
    </row>
    <row r="9" spans="1:5" ht="15" customHeight="1" x14ac:dyDescent="0.2">
      <c r="A9" s="43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柱形图</vt:lpstr>
      <vt:lpstr>折线图</vt:lpstr>
      <vt:lpstr>饼图-1</vt:lpstr>
      <vt:lpstr>饼图-2</vt:lpstr>
      <vt:lpstr>条形图</vt:lpstr>
      <vt:lpstr>条形图-2</vt:lpstr>
      <vt:lpstr>条形图-3</vt:lpstr>
      <vt:lpstr>面积图</vt:lpstr>
      <vt:lpstr>XY散点图</vt:lpstr>
      <vt:lpstr>XY散点图-气泡图</vt:lpstr>
      <vt:lpstr>股价图</vt:lpstr>
      <vt:lpstr>股价图-2</vt:lpstr>
      <vt:lpstr>雷达图</vt:lpstr>
      <vt:lpstr>曲面图</vt:lpstr>
      <vt:lpstr>组合图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2019-06-11T03:26:20Z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dbe83198-2343-463e-9bee-a9af1ddd5336</vt:lpwstr>
  </property>
</Properties>
</file>